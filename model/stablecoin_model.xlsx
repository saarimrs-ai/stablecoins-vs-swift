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Corridors" sheetId="3" state="visible" r:id="rId5"/>
    <sheet name="Pakistan" sheetId="4" state="visible" r:id="rId6"/>
    <sheet name="Issuer P&amp;L" sheetId="5" state="visible" r:id="rId7"/>
    <sheet name="Issuer Sensitivity" sheetId="6" state="visible" r:id="rId8"/>
    <sheet name="Corridor Product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<sst xmlns="http://schemas.openxmlformats.org/spreadsheetml/2006/main" count="245" uniqueCount="195">
  <si>
    <t xml:space="preserve">Stablecoins vs SWIFT — financial model (Oct 2026)</t>
  </si>
  <si>
    <t xml:space="preserve">How to use: change BLUE cells (yellow = key levers) on the Inputs sheet. Everything else is a formula.</t>
  </si>
  <si>
    <t xml:space="preserve">Colour code: blue = hardcoded input · black = formula · green = link to another sheet.</t>
  </si>
  <si>
    <t xml:space="preserve">Sheets:</t>
  </si>
  <si>
    <t xml:space="preserve">Inputs — every assumption, with its source or a note that it is an assumption.</t>
  </si>
  <si>
    <t xml:space="preserve">Corridors — 35 World Bank corridors: cheapest / median / average incumbent price vs the stablecoin rail cost.</t>
  </si>
  <si>
    <t xml:space="preserve">Pakistan — tests PVARA's Aug-2026 '$400m saving' claim against three benchmarks.</t>
  </si>
  <si>
    <t xml:space="preserve">Issuer P&amp;L — Circle-style issuer economics and the 'rate-cut squeeze' (what 25–150bp of cuts does).</t>
  </si>
  <si>
    <t xml:space="preserve">Issuer Sensitivity — EBITDA grid: average supply × reserve yield.</t>
  </si>
  <si>
    <t xml:space="preserve">Corridor Product — 5-year P&amp;L and NPV of a Saudi → South Asia stablecoin remittance product.</t>
  </si>
  <si>
    <t xml:space="preserve">Data vintages: stablecoin supply Oct 2026 (DefiLlama) · T-bill Sep 2026 (FRED) · Circle Q2 2026 results ·</t>
  </si>
  <si>
    <t xml:space="preserve">remittance prices Q3 2025 (latest World Bank release) · Pakistan flows FY26 (SBP).</t>
  </si>
  <si>
    <t xml:space="preserve">Not investment advice. Assumptions are illustrative and labelled.</t>
  </si>
  <si>
    <t xml:space="preserve">Input</t>
  </si>
  <si>
    <t xml:space="preserve">Value</t>
  </si>
  <si>
    <t xml:space="preserve">Source / note</t>
  </si>
  <si>
    <t xml:space="preserve">Stablecoin rail — on-ramp cost (% of transfer)</t>
  </si>
  <si>
    <t xml:space="preserve">ASSUMPTION: fiat→USD stablecoin at a licensed Gulf exchange/partner. Low case 0.1%, high 1.5%.</t>
  </si>
  <si>
    <t xml:space="preserve">Stablecoin rail — off-ramp cost incl. FX spread (%)</t>
  </si>
  <si>
    <t xml:space="preserve">ASSUMPTION: stablecoin→local currency via licensed partner. Low 0.3%, high 3%.</t>
  </si>
  <si>
    <t xml:space="preserve">Stablecoin rail — fixed cost per transfer ($)</t>
  </si>
  <si>
    <t xml:space="preserve">ASSUMPTION: network fee (~$0.05 on Solana/Base) + compliance/ops (~$0.50).</t>
  </si>
  <si>
    <t xml:space="preserve">Benchmark transfer size ($)</t>
  </si>
  <si>
    <t xml:space="preserve">World Bank RPW benchmark ticket.</t>
  </si>
  <si>
    <t xml:space="preserve">USDC average circulation ($bn)</t>
  </si>
  <si>
    <t xml:space="preserve">Circle Q2 2026: USDC $73.3bn end-period; DefiLlama Oct 2026 $72.7bn.</t>
  </si>
  <si>
    <t xml:space="preserve">Reserve yield (current, %)</t>
  </si>
  <si>
    <t xml:space="preserve">FRED TB3MS, Sep 2026 = 3.94%.</t>
  </si>
  <si>
    <t xml:space="preserve">Distribution &amp; transaction costs as % of total revenue</t>
  </si>
  <si>
    <t xml:space="preserve">Circle FY2025: $1,662m / $2,747m = 60.5%.</t>
  </si>
  <si>
    <t xml:space="preserve">Other revenue ($m / yr)</t>
  </si>
  <si>
    <t xml:space="preserve">Circle FY2026 guidance $150–170m (midpoint).</t>
  </si>
  <si>
    <t xml:space="preserve">Adjusted operating expenses ($m / yr)</t>
  </si>
  <si>
    <t xml:space="preserve">Circle FY2026 guidance $570–585m (midpoint).</t>
  </si>
  <si>
    <t xml:space="preserve">Payments take rate (bp of volume)</t>
  </si>
  <si>
    <t xml:space="preserve">ASSUMPTION: 10bp, used to size payment volume needed to replace lost float income.</t>
  </si>
  <si>
    <t xml:space="preserve">Pakistan inflows from Saudi Arabia ($bn, FY26)</t>
  </si>
  <si>
    <t xml:space="preserve">SBP via Gulf News, Jul 2026.</t>
  </si>
  <si>
    <t xml:space="preserve">Pakistan inflows from UAE ($bn, FY26)</t>
  </si>
  <si>
    <t xml:space="preserve">Pakistan inflows from UK ($bn, FY26)</t>
  </si>
  <si>
    <t xml:space="preserve">Product — price charged to customer (% of transfer)</t>
  </si>
  <si>
    <t xml:space="preserve">ASSUMPTION: set below the cheapest Saudi→Bangladesh/India/Nepal offers (3.1%–7.2%).</t>
  </si>
  <si>
    <t xml:space="preserve">Product — average transfer size ($)</t>
  </si>
  <si>
    <t xml:space="preserve">ASSUMPTION.</t>
  </si>
  <si>
    <t xml:space="preserve">Product — transfers per active user per month</t>
  </si>
  <si>
    <t xml:space="preserve">Product — new users in year 1</t>
  </si>
  <si>
    <t xml:space="preserve">Product — annual growth in new users</t>
  </si>
  <si>
    <t xml:space="preserve">Product — monthly churn</t>
  </si>
  <si>
    <t xml:space="preserve">Product — customer acquisition cost ($)</t>
  </si>
  <si>
    <t xml:space="preserve">Product — fixed opex year 1 ($m)</t>
  </si>
  <si>
    <t xml:space="preserve">ASSUMPTION: team, licences, compliance.</t>
  </si>
  <si>
    <t xml:space="preserve">Product — fixed opex growth / yr</t>
  </si>
  <si>
    <t xml:space="preserve">Product — discount rate</t>
  </si>
  <si>
    <t xml:space="preserve">ASSUMPTION: venture-stage emerging-market rate.</t>
  </si>
  <si>
    <t xml:space="preserve">Derived: stablecoin rail all-in cost on benchmark ticket</t>
  </si>
  <si>
    <t xml:space="preserve">Corridor</t>
  </si>
  <si>
    <t xml:space="preserve">From</t>
  </si>
  <si>
    <t xml:space="preserve">To</t>
  </si>
  <si>
    <t xml:space="preserve"># offers</t>
  </si>
  <si>
    <t xml:space="preserve">Cheapest offer %</t>
  </si>
  <si>
    <t xml:space="preserve">Median offer %</t>
  </si>
  <si>
    <t xml:space="preserve">Average %</t>
  </si>
  <si>
    <t xml:space="preserve">Rail cost %</t>
  </si>
  <si>
    <t xml:space="preserve">Rail beats cheapest?</t>
  </si>
  <si>
    <t xml:space="preserve">Headroom vs cheapest (pp)</t>
  </si>
  <si>
    <t xml:space="preserve">Headroom vs median (pp)</t>
  </si>
  <si>
    <t xml:space="preserve">AE/PK</t>
  </si>
  <si>
    <t xml:space="preserve">UAE</t>
  </si>
  <si>
    <t xml:space="preserve">Pakistan</t>
  </si>
  <si>
    <t xml:space="preserve">SA/PK</t>
  </si>
  <si>
    <t xml:space="preserve">Saudi Arabia</t>
  </si>
  <si>
    <t xml:space="preserve">GB/PK</t>
  </si>
  <si>
    <t xml:space="preserve">UK</t>
  </si>
  <si>
    <t xml:space="preserve">US/PK</t>
  </si>
  <si>
    <t xml:space="preserve">USA</t>
  </si>
  <si>
    <t xml:space="preserve">AE/IN</t>
  </si>
  <si>
    <t xml:space="preserve">India</t>
  </si>
  <si>
    <t xml:space="preserve">SA/IN</t>
  </si>
  <si>
    <t xml:space="preserve">US/IN</t>
  </si>
  <si>
    <t xml:space="preserve">GB/IN</t>
  </si>
  <si>
    <t xml:space="preserve">US/MX</t>
  </si>
  <si>
    <t xml:space="preserve">Mexico</t>
  </si>
  <si>
    <t xml:space="preserve">US/PH</t>
  </si>
  <si>
    <t xml:space="preserve">Philippines</t>
  </si>
  <si>
    <t xml:space="preserve">AE/PH</t>
  </si>
  <si>
    <t xml:space="preserve">SA/PH</t>
  </si>
  <si>
    <t xml:space="preserve">SA/EG</t>
  </si>
  <si>
    <t xml:space="preserve">Egypt</t>
  </si>
  <si>
    <t xml:space="preserve">AE/EG</t>
  </si>
  <si>
    <t xml:space="preserve">AE/BD</t>
  </si>
  <si>
    <t xml:space="preserve">Bangladesh</t>
  </si>
  <si>
    <t xml:space="preserve">SA/BD</t>
  </si>
  <si>
    <t xml:space="preserve">GB/NG</t>
  </si>
  <si>
    <t xml:space="preserve">Nigeria</t>
  </si>
  <si>
    <t xml:space="preserve">US/NG</t>
  </si>
  <si>
    <t xml:space="preserve">ZA/ZW</t>
  </si>
  <si>
    <t xml:space="preserve">South Africa</t>
  </si>
  <si>
    <t xml:space="preserve">Zimbabwe</t>
  </si>
  <si>
    <t xml:space="preserve">ZA/MZ</t>
  </si>
  <si>
    <t xml:space="preserve">Mozambique</t>
  </si>
  <si>
    <t xml:space="preserve">US/GT</t>
  </si>
  <si>
    <t xml:space="preserve">Guatemala</t>
  </si>
  <si>
    <t xml:space="preserve">FR/MA</t>
  </si>
  <si>
    <t xml:space="preserve">France</t>
  </si>
  <si>
    <t xml:space="preserve">Morocco</t>
  </si>
  <si>
    <t xml:space="preserve">DE/TR</t>
  </si>
  <si>
    <t xml:space="preserve">Germany</t>
  </si>
  <si>
    <t xml:space="preserve">Türkiye</t>
  </si>
  <si>
    <t xml:space="preserve">JP/PH</t>
  </si>
  <si>
    <t xml:space="preserve">Japan</t>
  </si>
  <si>
    <t xml:space="preserve">TZ/KE</t>
  </si>
  <si>
    <t xml:space="preserve">Tanzania</t>
  </si>
  <si>
    <t xml:space="preserve">Kenya</t>
  </si>
  <si>
    <t xml:space="preserve">ZA/MW</t>
  </si>
  <si>
    <t xml:space="preserve">Malawi</t>
  </si>
  <si>
    <t xml:space="preserve">US/CN</t>
  </si>
  <si>
    <t xml:space="preserve">China</t>
  </si>
  <si>
    <t xml:space="preserve">AE/NP</t>
  </si>
  <si>
    <t xml:space="preserve">Nepal</t>
  </si>
  <si>
    <t xml:space="preserve">SA/NP</t>
  </si>
  <si>
    <t xml:space="preserve">AE/LK</t>
  </si>
  <si>
    <t xml:space="preserve">Sri Lanka</t>
  </si>
  <si>
    <t xml:space="preserve">US/VN</t>
  </si>
  <si>
    <t xml:space="preserve">Vietnam</t>
  </si>
  <si>
    <t xml:space="preserve">KR/VN</t>
  </si>
  <si>
    <t xml:space="preserve">South Korea</t>
  </si>
  <si>
    <t xml:space="preserve">SG/ID</t>
  </si>
  <si>
    <t xml:space="preserve">Singapore</t>
  </si>
  <si>
    <t xml:space="preserve">Indonesia</t>
  </si>
  <si>
    <t xml:space="preserve">AU/CN</t>
  </si>
  <si>
    <t xml:space="preserve">Australia</t>
  </si>
  <si>
    <t xml:space="preserve">AU/FJ</t>
  </si>
  <si>
    <t xml:space="preserve">Fiji</t>
  </si>
  <si>
    <t xml:space="preserve">Corridors where rail beats the CHEAPEST offer</t>
  </si>
  <si>
    <t xml:space="preserve">Corridors where rail beats the MEDIAN offer</t>
  </si>
  <si>
    <t xml:space="preserve">Source: World Bank Remittance Prices Worldwide, Q3 2025 corridor pages (latest release); cost of sending $200.</t>
  </si>
  <si>
    <t xml:space="preserve">Flow FY26 ($bn)</t>
  </si>
  <si>
    <t xml:space="preserve">Average offer %</t>
  </si>
  <si>
    <t xml:space="preserve">Saving vs average ($m)</t>
  </si>
  <si>
    <t xml:space="preserve">Saving vs median ($m)</t>
  </si>
  <si>
    <t xml:space="preserve">Saving vs cheapest ($m)</t>
  </si>
  <si>
    <t xml:space="preserve">Saudi Arabia → Pakistan</t>
  </si>
  <si>
    <t xml:space="preserve">UAE → Pakistan</t>
  </si>
  <si>
    <t xml:space="preserve">UK → Pakistan</t>
  </si>
  <si>
    <t xml:space="preserve">Total</t>
  </si>
  <si>
    <t xml:space="preserve">PVARA claim (Aug 2026): ~$400m/yr from a 1pp cost cut on ~$40bn flows</t>
  </si>
  <si>
    <t xml:space="preserve">Upper bounds: assumes 100% switching and $200-ticket pricing (larger transfers are cheaper in % terms).</t>
  </si>
  <si>
    <t xml:space="preserve">$m unless stated</t>
  </si>
  <si>
    <t xml:space="preserve">Today</t>
  </si>
  <si>
    <t xml:space="preserve">-25bp</t>
  </si>
  <si>
    <t xml:space="preserve">-50bp</t>
  </si>
  <si>
    <t xml:space="preserve">-100bp</t>
  </si>
  <si>
    <t xml:space="preserve">-150bp</t>
  </si>
  <si>
    <t xml:space="preserve">Rate change</t>
  </si>
  <si>
    <t xml:space="preserve">Reserve yield</t>
  </si>
  <si>
    <t xml:space="preserve">Average USDC ($bn)</t>
  </si>
  <si>
    <t xml:space="preserve">Reserve income</t>
  </si>
  <si>
    <t xml:space="preserve">Other revenue</t>
  </si>
  <si>
    <t xml:space="preserve">Total revenue</t>
  </si>
  <si>
    <t xml:space="preserve">Distribution &amp; transaction costs</t>
  </si>
  <si>
    <t xml:space="preserve">Revenue less distribution (RLDC)</t>
  </si>
  <si>
    <t xml:space="preserve">RLDC margin</t>
  </si>
  <si>
    <t xml:space="preserve">Adjusted opex</t>
  </si>
  <si>
    <t xml:space="preserve">Adjusted EBITDA</t>
  </si>
  <si>
    <t xml:space="preserve">EBITDA lost vs today</t>
  </si>
  <si>
    <t xml:space="preserve">Payment volume needed to replace lost EBITDA ($bn)</t>
  </si>
  <si>
    <t xml:space="preserve">Reading: distribution partners take ~60% of reserve income, so every 100bp of rate cuts removes ~$730m of reserve income and ~$290m of RLDC.</t>
  </si>
  <si>
    <t xml:space="preserve">To replace that from payments at a 10bp take rate, an issuer needs ~$290bn/yr of payment volume, about 40% of all remittances to developing countries ($685bn).</t>
  </si>
  <si>
    <t xml:space="preserve">Note: distribution costs are modelled as a share of reserve income (simplification). Calibrated to Circle FY2025/Q2 2026 results.</t>
  </si>
  <si>
    <t xml:space="preserve">Adjusted EBITDA ($m): average supply (rows) × reserve yield (columns)</t>
  </si>
  <si>
    <t xml:space="preserve">Saudi Arabia → South Asia stablecoin remittance product — 5-year P&amp;L ($m unless stated)</t>
  </si>
  <si>
    <t xml:space="preserve">Line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</si>
  <si>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</si>
  <si>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</si>
  <si>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</si>
  <si>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</si>
  <si>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</si>
  <si>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New users</t>
  </si>
  <si>
    <t xml:space="preserve">Users retained at year end</t>
  </si>
  <si>
    <t xml:space="preserve">Average active users</t>
  </si>
  <si>
    <t xml:space="preserve">Transfers (m)</t>
  </si>
  <si>
    <t xml:space="preserve">Volume ($m)</t>
  </si>
  <si>
    <t xml:space="preserve">Revenue ($m)</t>
  </si>
  <si>
    <t xml:space="preserve">Rail cost ($m)</t>
  </si>
  <si>
    <t xml:space="preserve">Contribution ($m)</t>
  </si>
  <si>
    <t xml:space="preserve">Contribution margin</t>
  </si>
  <si>
    <t xml:space="preserve">Acquisition spend ($m)</t>
  </si>
  <si>
    <t xml:space="preserve">Fixed opex ($m)</t>
  </si>
  <si>
    <t xml:space="preserve">EBITDA ($m)</t>
  </si>
  <si>
    <t xml:space="preserve">Discount factor</t>
  </si>
  <si>
    <t xml:space="preserve">PV of EBITDA ($m)</t>
  </si>
  <si>
    <t xml:space="preserve">NPV of 5-year EBITDA ($m)</t>
  </si>
  <si>
    <t xml:space="preserve">Contribution per transfer ($)</t>
  </si>
  <si>
    <t xml:space="preserve">Months of contribution to pay back CAC</t>
  </si>
  <si>
    <t xml:space="preserve">Customer saving vs cheapest Saudi→Bangladesh offer (7.15%), per $300 transfer ($)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</si>
</sst>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0%;\(0.00%\);\-"/>
    <numFmt numFmtId="166" formatCode="\$#,##0.00;&quot;($&quot;#,##0.00\);\-"/>
    <numFmt numFmtId="167" formatCode="\$#,##0;&quot;($&quot;#,##0\);\-"/>
    <numFmt numFmtId="168" formatCode="\$#,##0.0;&quot;($&quot;#,##0.0\);\-"/>
    <numFmt numFmtId="169" formatCode="0.0"/>
    <numFmt numFmtId="170" formatCode="#,##0;\(#,##0\);\-"/>
    <numFmt numFmtId="171" formatCode="0.00;\(0.00\);\-"/>
    <numFmt numFmtId="172" formatCode="0.00%;\(0.00%\);0.00%"/>
    <numFmt numFmtId="173" formatCode="\$#,##0&quot;bn&quot;"/>
    <numFmt numFmtId="174" formatCode="#,##0.00"/>
    <numFmt numFmtId="175" formatCode="0.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  <font>
      <i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3" min="3" style="0" width="80"/>
  </cols>
  <sheetData>
    <row r="1" customFormat="false" ht="15" hidden="false" customHeight="false" outlineLevel="0" collapsed="false">
      <c r="A1" s="3" t="s">
        <v>13</v>
      </c>
      <c r="B1" s="3" t="s">
        <v>14</v>
      </c>
      <c r="C1" s="3" t="s">
        <v>15</v>
      </c>
    </row>
    <row r="2" customFormat="false" ht="15" hidden="false" customHeight="false" outlineLevel="0" collapsed="false">
      <c r="A2" s="2" t="s">
        <v>16</v>
      </c>
      <c r="B2" s="4" t="n">
        <v>0.005</v>
      </c>
      <c r="C2" s="5" t="s">
        <v>17</v>
      </c>
    </row>
    <row r="3" customFormat="false" ht="15" hidden="false" customHeight="false" outlineLevel="0" collapsed="false">
      <c r="A3" s="2" t="s">
        <v>18</v>
      </c>
      <c r="B3" s="4" t="n">
        <v>0.01</v>
      </c>
      <c r="C3" s="5" t="s">
        <v>19</v>
      </c>
    </row>
    <row r="4" customFormat="false" ht="15" hidden="false" customHeight="false" outlineLevel="0" collapsed="false">
      <c r="A4" s="2" t="s">
        <v>20</v>
      </c>
      <c r="B4" s="6" t="n">
        <v>0.55</v>
      </c>
      <c r="C4" s="5" t="s">
        <v>21</v>
      </c>
    </row>
    <row r="5" customFormat="false" ht="15" hidden="false" customHeight="false" outlineLevel="0" collapsed="false">
      <c r="A5" s="2" t="s">
        <v>22</v>
      </c>
      <c r="B5" s="7" t="n">
        <v>200</v>
      </c>
      <c r="C5" s="5" t="s">
        <v>23</v>
      </c>
    </row>
    <row r="6" customFormat="false" ht="15" hidden="false" customHeight="false" outlineLevel="0" collapsed="false">
      <c r="A6" s="2" t="s">
        <v>24</v>
      </c>
      <c r="B6" s="8" t="n">
        <v>73</v>
      </c>
      <c r="C6" s="5" t="s">
        <v>25</v>
      </c>
    </row>
    <row r="7" customFormat="false" ht="15" hidden="false" customHeight="false" outlineLevel="0" collapsed="false">
      <c r="A7" s="2" t="s">
        <v>26</v>
      </c>
      <c r="B7" s="4" t="n">
        <v>0.0394</v>
      </c>
      <c r="C7" s="5" t="s">
        <v>27</v>
      </c>
    </row>
    <row r="8" customFormat="false" ht="15" hidden="false" customHeight="false" outlineLevel="0" collapsed="false">
      <c r="A8" s="2" t="s">
        <v>28</v>
      </c>
      <c r="B8" s="4" t="n">
        <v>0.605</v>
      </c>
      <c r="C8" s="5" t="s">
        <v>29</v>
      </c>
    </row>
    <row r="9" customFormat="false" ht="15" hidden="false" customHeight="false" outlineLevel="0" collapsed="false">
      <c r="A9" s="2" t="s">
        <v>30</v>
      </c>
      <c r="B9" s="7" t="n">
        <v>160</v>
      </c>
      <c r="C9" s="5" t="s">
        <v>31</v>
      </c>
    </row>
    <row r="10" customFormat="false" ht="15" hidden="false" customHeight="false" outlineLevel="0" collapsed="false">
      <c r="A10" s="2" t="s">
        <v>32</v>
      </c>
      <c r="B10" s="7" t="n">
        <v>578</v>
      </c>
      <c r="C10" s="5" t="s">
        <v>33</v>
      </c>
    </row>
    <row r="11" customFormat="false" ht="15" hidden="false" customHeight="false" outlineLevel="0" collapsed="false">
      <c r="A11" s="2" t="s">
        <v>34</v>
      </c>
      <c r="B11" s="4" t="n">
        <v>0.001</v>
      </c>
      <c r="C11" s="5" t="s">
        <v>35</v>
      </c>
    </row>
    <row r="12" customFormat="false" ht="15" hidden="false" customHeight="false" outlineLevel="0" collapsed="false">
      <c r="A12" s="2" t="s">
        <v>36</v>
      </c>
      <c r="B12" s="6" t="n">
        <v>9.78</v>
      </c>
      <c r="C12" s="5" t="s">
        <v>37</v>
      </c>
    </row>
    <row r="13" customFormat="false" ht="15" hidden="false" customHeight="false" outlineLevel="0" collapsed="false">
      <c r="A13" s="2" t="s">
        <v>38</v>
      </c>
      <c r="B13" s="6" t="n">
        <v>8.81</v>
      </c>
      <c r="C13" s="5" t="s">
        <v>37</v>
      </c>
    </row>
    <row r="14" customFormat="false" ht="15" hidden="false" customHeight="false" outlineLevel="0" collapsed="false">
      <c r="A14" s="2" t="s">
        <v>39</v>
      </c>
      <c r="B14" s="6" t="n">
        <v>6.33</v>
      </c>
      <c r="C14" s="5" t="s">
        <v>37</v>
      </c>
    </row>
    <row r="15" customFormat="false" ht="15" hidden="false" customHeight="false" outlineLevel="0" collapsed="false">
      <c r="A15" s="2" t="s">
        <v>40</v>
      </c>
      <c r="B15" s="4" t="n">
        <v>0.027</v>
      </c>
      <c r="C15" s="5" t="s">
        <v>41</v>
      </c>
    </row>
    <row r="16" customFormat="false" ht="15" hidden="false" customHeight="false" outlineLevel="0" collapsed="false">
      <c r="A16" s="2" t="s">
        <v>42</v>
      </c>
      <c r="B16" s="7" t="n">
        <v>300</v>
      </c>
      <c r="C16" s="5" t="s">
        <v>43</v>
      </c>
    </row>
    <row r="17" customFormat="false" ht="15" hidden="false" customHeight="false" outlineLevel="0" collapsed="false">
      <c r="A17" s="2" t="s">
        <v>44</v>
      </c>
      <c r="B17" s="9" t="n">
        <v>1.3</v>
      </c>
      <c r="C17" s="5" t="s">
        <v>43</v>
      </c>
    </row>
    <row r="18" customFormat="false" ht="15" hidden="false" customHeight="false" outlineLevel="0" collapsed="false">
      <c r="A18" s="2" t="s">
        <v>45</v>
      </c>
      <c r="B18" s="10" t="n">
        <v>40000</v>
      </c>
      <c r="C18" s="5" t="s">
        <v>43</v>
      </c>
    </row>
    <row r="19" customFormat="false" ht="15" hidden="false" customHeight="false" outlineLevel="0" collapsed="false">
      <c r="A19" s="2" t="s">
        <v>46</v>
      </c>
      <c r="B19" s="11" t="n">
        <v>0.6</v>
      </c>
      <c r="C19" s="5" t="s">
        <v>43</v>
      </c>
    </row>
    <row r="20" customFormat="false" ht="15" hidden="false" customHeight="false" outlineLevel="0" collapsed="false">
      <c r="A20" s="2" t="s">
        <v>47</v>
      </c>
      <c r="B20" s="4" t="n">
        <v>0.04</v>
      </c>
      <c r="C20" s="5" t="s">
        <v>43</v>
      </c>
    </row>
    <row r="21" customFormat="false" ht="15" hidden="false" customHeight="false" outlineLevel="0" collapsed="false">
      <c r="A21" s="2" t="s">
        <v>48</v>
      </c>
      <c r="B21" s="12" t="n">
        <v>22</v>
      </c>
      <c r="C21" s="5" t="s">
        <v>43</v>
      </c>
    </row>
    <row r="22" customFormat="false" ht="15" hidden="false" customHeight="false" outlineLevel="0" collapsed="false">
      <c r="A22" s="2" t="s">
        <v>49</v>
      </c>
      <c r="B22" s="13" t="n">
        <v>3.5</v>
      </c>
      <c r="C22" s="5" t="s">
        <v>50</v>
      </c>
    </row>
    <row r="23" customFormat="false" ht="15" hidden="false" customHeight="false" outlineLevel="0" collapsed="false">
      <c r="A23" s="2" t="s">
        <v>51</v>
      </c>
      <c r="B23" s="11" t="n">
        <v>0.25</v>
      </c>
      <c r="C23" s="5" t="s">
        <v>43</v>
      </c>
    </row>
    <row r="24" customFormat="false" ht="15" hidden="false" customHeight="false" outlineLevel="0" collapsed="false">
      <c r="A24" s="2" t="s">
        <v>52</v>
      </c>
      <c r="B24" s="11" t="n">
        <v>0.18</v>
      </c>
      <c r="C24" s="5" t="s">
        <v>53</v>
      </c>
    </row>
    <row r="25" customFormat="false" ht="15" hidden="false" customHeight="false" outlineLevel="0" collapsed="false">
      <c r="A25" s="14"/>
      <c r="B25" s="14"/>
      <c r="C25" s="14"/>
    </row>
    <row r="26" customFormat="false" ht="15" hidden="false" customHeight="false" outlineLevel="0" collapsed="false">
      <c r="A26" s="15" t="s">
        <v>54</v>
      </c>
      <c r="B26" s="16" t="n">
        <f aca="false">Inputs!$B$2+Inputs!$B$3+Inputs!$B$4/Inputs!$B$5</f>
        <v>0.01775</v>
      </c>
      <c r="C26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4"/>
    <col collapsed="false" customWidth="true" hidden="false" outlineLevel="0" max="4" min="4" style="0" width="9"/>
    <col collapsed="false" customWidth="true" hidden="false" outlineLevel="0" max="6" min="5" style="0" width="12"/>
    <col collapsed="false" customWidth="true" hidden="false" outlineLevel="0" max="8" min="7" style="0" width="11"/>
    <col collapsed="false" customWidth="true" hidden="false" outlineLevel="0" max="9" min="9" style="0" width="12"/>
    <col collapsed="false" customWidth="true" hidden="false" outlineLevel="0" max="11" min="10" style="0" width="13"/>
  </cols>
  <sheetData>
    <row r="1" customFormat="false" ht="39.55" hidden="false" customHeight="false" outlineLevel="0" collapsed="false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3" t="s">
        <v>60</v>
      </c>
      <c r="G1" s="3" t="s">
        <v>61</v>
      </c>
      <c r="H1" s="3" t="s">
        <v>62</v>
      </c>
      <c r="I1" s="3" t="s">
        <v>63</v>
      </c>
      <c r="J1" s="3" t="s">
        <v>64</v>
      </c>
      <c r="K1" s="3" t="s">
        <v>65</v>
      </c>
    </row>
    <row r="2" customFormat="false" ht="15" hidden="false" customHeight="false" outlineLevel="0" collapsed="false">
      <c r="A2" s="14" t="s">
        <v>66</v>
      </c>
      <c r="B2" s="14" t="s">
        <v>67</v>
      </c>
      <c r="C2" s="14" t="s">
        <v>68</v>
      </c>
      <c r="D2" s="17" t="n">
        <v>17</v>
      </c>
      <c r="E2" s="11" t="n">
        <v>-0.0049</v>
      </c>
      <c r="F2" s="11" t="n">
        <v>0.0063</v>
      </c>
      <c r="G2" s="11" t="n">
        <v>0.0217</v>
      </c>
      <c r="H2" s="18" t="n">
        <f aca="false">Inputs!$B$26</f>
        <v>0.01775</v>
      </c>
      <c r="I2" s="14" t="str">
        <f aca="false">IF(E2&gt;H2,"YES","no")</f>
        <v>no</v>
      </c>
      <c r="J2" s="19" t="n">
        <f aca="false">(E2-H2)*100</f>
        <v>-2.265</v>
      </c>
      <c r="K2" s="19" t="n">
        <f aca="false">(F2-H2)*100</f>
        <v>-1.145</v>
      </c>
    </row>
    <row r="3" customFormat="false" ht="15" hidden="false" customHeight="false" outlineLevel="0" collapsed="false">
      <c r="A3" s="14" t="s">
        <v>69</v>
      </c>
      <c r="B3" s="14" t="s">
        <v>70</v>
      </c>
      <c r="C3" s="14" t="s">
        <v>68</v>
      </c>
      <c r="D3" s="17" t="n">
        <v>12</v>
      </c>
      <c r="E3" s="11" t="n">
        <v>0.0144</v>
      </c>
      <c r="F3" s="11" t="n">
        <v>0.0306</v>
      </c>
      <c r="G3" s="11" t="n">
        <v>0.0502</v>
      </c>
      <c r="H3" s="18" t="n">
        <f aca="false">Inputs!$B$26</f>
        <v>0.01775</v>
      </c>
      <c r="I3" s="14" t="str">
        <f aca="false">IF(E3&gt;H3,"YES","no")</f>
        <v>no</v>
      </c>
      <c r="J3" s="19" t="n">
        <f aca="false">(E3-H3)*100</f>
        <v>-0.335</v>
      </c>
      <c r="K3" s="19" t="n">
        <f aca="false">(F3-H3)*100</f>
        <v>1.285</v>
      </c>
    </row>
    <row r="4" customFormat="false" ht="15" hidden="false" customHeight="false" outlineLevel="0" collapsed="false">
      <c r="A4" s="14" t="s">
        <v>71</v>
      </c>
      <c r="B4" s="14" t="s">
        <v>72</v>
      </c>
      <c r="C4" s="14" t="s">
        <v>68</v>
      </c>
      <c r="D4" s="17" t="n">
        <v>29</v>
      </c>
      <c r="E4" s="11" t="n">
        <v>-0.0144</v>
      </c>
      <c r="F4" s="11" t="n">
        <v>0.0251</v>
      </c>
      <c r="G4" s="11" t="n">
        <v>0.0239</v>
      </c>
      <c r="H4" s="18" t="n">
        <f aca="false">Inputs!$B$26</f>
        <v>0.01775</v>
      </c>
      <c r="I4" s="14" t="str">
        <f aca="false">IF(E4&gt;H4,"YES","no")</f>
        <v>no</v>
      </c>
      <c r="J4" s="19" t="n">
        <f aca="false">(E4-H4)*100</f>
        <v>-3.215</v>
      </c>
      <c r="K4" s="19" t="n">
        <f aca="false">(F4-H4)*100</f>
        <v>0.735</v>
      </c>
    </row>
    <row r="5" customFormat="false" ht="15" hidden="false" customHeight="false" outlineLevel="0" collapsed="false">
      <c r="A5" s="14" t="s">
        <v>73</v>
      </c>
      <c r="B5" s="14" t="s">
        <v>74</v>
      </c>
      <c r="C5" s="14" t="s">
        <v>68</v>
      </c>
      <c r="D5" s="17" t="n">
        <v>25</v>
      </c>
      <c r="E5" s="11" t="n">
        <v>0.0045</v>
      </c>
      <c r="F5" s="11" t="n">
        <v>0.0263</v>
      </c>
      <c r="G5" s="11" t="n">
        <v>0.0381</v>
      </c>
      <c r="H5" s="18" t="n">
        <f aca="false">Inputs!$B$26</f>
        <v>0.01775</v>
      </c>
      <c r="I5" s="14" t="str">
        <f aca="false">IF(E5&gt;H5,"YES","no")</f>
        <v>no</v>
      </c>
      <c r="J5" s="19" t="n">
        <f aca="false">(E5-H5)*100</f>
        <v>-1.325</v>
      </c>
      <c r="K5" s="19" t="n">
        <f aca="false">(F5-H5)*100</f>
        <v>0.855</v>
      </c>
    </row>
    <row r="6" customFormat="false" ht="15" hidden="false" customHeight="false" outlineLevel="0" collapsed="false">
      <c r="A6" s="14" t="s">
        <v>75</v>
      </c>
      <c r="B6" s="14" t="s">
        <v>67</v>
      </c>
      <c r="C6" s="14" t="s">
        <v>76</v>
      </c>
      <c r="D6" s="17" t="n">
        <v>24</v>
      </c>
      <c r="E6" s="11" t="n">
        <v>0.0077</v>
      </c>
      <c r="F6" s="11" t="n">
        <v>0.0305</v>
      </c>
      <c r="G6" s="11" t="n">
        <v>0.0372</v>
      </c>
      <c r="H6" s="18" t="n">
        <f aca="false">Inputs!$B$26</f>
        <v>0.01775</v>
      </c>
      <c r="I6" s="14" t="str">
        <f aca="false">IF(E6&gt;H6,"YES","no")</f>
        <v>no</v>
      </c>
      <c r="J6" s="19" t="n">
        <f aca="false">(E6-H6)*100</f>
        <v>-1.005</v>
      </c>
      <c r="K6" s="19" t="n">
        <f aca="false">(F6-H6)*100</f>
        <v>1.275</v>
      </c>
    </row>
    <row r="7" customFormat="false" ht="15" hidden="false" customHeight="false" outlineLevel="0" collapsed="false">
      <c r="A7" s="14" t="s">
        <v>77</v>
      </c>
      <c r="B7" s="14" t="s">
        <v>70</v>
      </c>
      <c r="C7" s="14" t="s">
        <v>76</v>
      </c>
      <c r="D7" s="17" t="n">
        <v>12</v>
      </c>
      <c r="E7" s="11" t="n">
        <v>0.0314</v>
      </c>
      <c r="F7" s="11" t="n">
        <v>0.0357</v>
      </c>
      <c r="G7" s="11" t="n">
        <v>0.0559</v>
      </c>
      <c r="H7" s="18" t="n">
        <f aca="false">Inputs!$B$26</f>
        <v>0.01775</v>
      </c>
      <c r="I7" s="14" t="str">
        <f aca="false">IF(E7&gt;H7,"YES","no")</f>
        <v>YES</v>
      </c>
      <c r="J7" s="19" t="n">
        <f aca="false">(E7-H7)*100</f>
        <v>1.365</v>
      </c>
      <c r="K7" s="19" t="n">
        <f aca="false">(F7-H7)*100</f>
        <v>1.795</v>
      </c>
    </row>
    <row r="8" customFormat="false" ht="15" hidden="false" customHeight="false" outlineLevel="0" collapsed="false">
      <c r="A8" s="14" t="s">
        <v>78</v>
      </c>
      <c r="B8" s="14" t="s">
        <v>74</v>
      </c>
      <c r="C8" s="14" t="s">
        <v>76</v>
      </c>
      <c r="D8" s="17" t="n">
        <v>46</v>
      </c>
      <c r="E8" s="11" t="n">
        <v>-0.0053</v>
      </c>
      <c r="F8" s="11" t="n">
        <v>0.0276</v>
      </c>
      <c r="G8" s="11" t="n">
        <v>0.0368</v>
      </c>
      <c r="H8" s="18" t="n">
        <f aca="false">Inputs!$B$26</f>
        <v>0.01775</v>
      </c>
      <c r="I8" s="14" t="str">
        <f aca="false">IF(E8&gt;H8,"YES","no")</f>
        <v>no</v>
      </c>
      <c r="J8" s="19" t="n">
        <f aca="false">(E8-H8)*100</f>
        <v>-2.305</v>
      </c>
      <c r="K8" s="19" t="n">
        <f aca="false">(F8-H8)*100</f>
        <v>0.985</v>
      </c>
    </row>
    <row r="9" customFormat="false" ht="15" hidden="false" customHeight="false" outlineLevel="0" collapsed="false">
      <c r="A9" s="14" t="s">
        <v>79</v>
      </c>
      <c r="B9" s="14" t="s">
        <v>72</v>
      </c>
      <c r="C9" s="14" t="s">
        <v>76</v>
      </c>
      <c r="D9" s="17" t="n">
        <v>28</v>
      </c>
      <c r="E9" s="11" t="n">
        <v>0.0015</v>
      </c>
      <c r="F9" s="11" t="n">
        <v>0.0211</v>
      </c>
      <c r="G9" s="11" t="n">
        <v>0.0191</v>
      </c>
      <c r="H9" s="18" t="n">
        <f aca="false">Inputs!$B$26</f>
        <v>0.01775</v>
      </c>
      <c r="I9" s="14" t="str">
        <f aca="false">IF(E9&gt;H9,"YES","no")</f>
        <v>no</v>
      </c>
      <c r="J9" s="19" t="n">
        <f aca="false">(E9-H9)*100</f>
        <v>-1.625</v>
      </c>
      <c r="K9" s="19" t="n">
        <f aca="false">(F9-H9)*100</f>
        <v>0.335</v>
      </c>
    </row>
    <row r="10" customFormat="false" ht="15" hidden="false" customHeight="false" outlineLevel="0" collapsed="false">
      <c r="A10" s="14" t="s">
        <v>80</v>
      </c>
      <c r="B10" s="14" t="s">
        <v>74</v>
      </c>
      <c r="C10" s="14" t="s">
        <v>81</v>
      </c>
      <c r="D10" s="17" t="n">
        <v>46</v>
      </c>
      <c r="E10" s="11" t="n">
        <v>-0.0244</v>
      </c>
      <c r="F10" s="11" t="n">
        <v>0.046</v>
      </c>
      <c r="G10" s="11" t="n">
        <v>0.0454</v>
      </c>
      <c r="H10" s="18" t="n">
        <f aca="false">Inputs!$B$26</f>
        <v>0.01775</v>
      </c>
      <c r="I10" s="14" t="str">
        <f aca="false">IF(E10&gt;H10,"YES","no")</f>
        <v>no</v>
      </c>
      <c r="J10" s="19" t="n">
        <f aca="false">(E10-H10)*100</f>
        <v>-4.215</v>
      </c>
      <c r="K10" s="19" t="n">
        <f aca="false">(F10-H10)*100</f>
        <v>2.825</v>
      </c>
    </row>
    <row r="11" customFormat="false" ht="15" hidden="false" customHeight="false" outlineLevel="0" collapsed="false">
      <c r="A11" s="14" t="s">
        <v>82</v>
      </c>
      <c r="B11" s="14" t="s">
        <v>74</v>
      </c>
      <c r="C11" s="14" t="s">
        <v>83</v>
      </c>
      <c r="D11" s="17" t="n">
        <v>58</v>
      </c>
      <c r="E11" s="11" t="n">
        <v>0.0058</v>
      </c>
      <c r="F11" s="11" t="n">
        <v>0.0399</v>
      </c>
      <c r="G11" s="11" t="n">
        <v>0.0452</v>
      </c>
      <c r="H11" s="18" t="n">
        <f aca="false">Inputs!$B$26</f>
        <v>0.01775</v>
      </c>
      <c r="I11" s="14" t="str">
        <f aca="false">IF(E11&gt;H11,"YES","no")</f>
        <v>no</v>
      </c>
      <c r="J11" s="19" t="n">
        <f aca="false">(E11-H11)*100</f>
        <v>-1.195</v>
      </c>
      <c r="K11" s="19" t="n">
        <f aca="false">(F11-H11)*100</f>
        <v>2.215</v>
      </c>
    </row>
    <row r="12" customFormat="false" ht="15" hidden="false" customHeight="false" outlineLevel="0" collapsed="false">
      <c r="A12" s="14" t="s">
        <v>84</v>
      </c>
      <c r="B12" s="14" t="s">
        <v>67</v>
      </c>
      <c r="C12" s="14" t="s">
        <v>83</v>
      </c>
      <c r="D12" s="17" t="n">
        <v>21</v>
      </c>
      <c r="E12" s="11" t="n">
        <v>0.0081</v>
      </c>
      <c r="F12" s="11" t="n">
        <v>0.0343</v>
      </c>
      <c r="G12" s="11" t="n">
        <v>0.0304</v>
      </c>
      <c r="H12" s="18" t="n">
        <f aca="false">Inputs!$B$26</f>
        <v>0.01775</v>
      </c>
      <c r="I12" s="14" t="str">
        <f aca="false">IF(E12&gt;H12,"YES","no")</f>
        <v>no</v>
      </c>
      <c r="J12" s="19" t="n">
        <f aca="false">(E12-H12)*100</f>
        <v>-0.965</v>
      </c>
      <c r="K12" s="19" t="n">
        <f aca="false">(F12-H12)*100</f>
        <v>1.655</v>
      </c>
    </row>
    <row r="13" customFormat="false" ht="15" hidden="false" customHeight="false" outlineLevel="0" collapsed="false">
      <c r="A13" s="14" t="s">
        <v>85</v>
      </c>
      <c r="B13" s="14" t="s">
        <v>70</v>
      </c>
      <c r="C13" s="14" t="s">
        <v>83</v>
      </c>
      <c r="D13" s="17" t="n">
        <v>10</v>
      </c>
      <c r="E13" s="11" t="n">
        <v>0.0256</v>
      </c>
      <c r="F13" s="11" t="n">
        <v>0.0276</v>
      </c>
      <c r="G13" s="11" t="n">
        <v>0.0382</v>
      </c>
      <c r="H13" s="18" t="n">
        <f aca="false">Inputs!$B$26</f>
        <v>0.01775</v>
      </c>
      <c r="I13" s="14" t="str">
        <f aca="false">IF(E13&gt;H13,"YES","no")</f>
        <v>YES</v>
      </c>
      <c r="J13" s="19" t="n">
        <f aca="false">(E13-H13)*100</f>
        <v>0.785</v>
      </c>
      <c r="K13" s="19" t="n">
        <f aca="false">(F13-H13)*100</f>
        <v>0.985</v>
      </c>
    </row>
    <row r="14" customFormat="false" ht="15" hidden="false" customHeight="false" outlineLevel="0" collapsed="false">
      <c r="A14" s="14" t="s">
        <v>86</v>
      </c>
      <c r="B14" s="14" t="s">
        <v>70</v>
      </c>
      <c r="C14" s="14" t="s">
        <v>87</v>
      </c>
      <c r="D14" s="17" t="n">
        <v>12</v>
      </c>
      <c r="E14" s="11" t="n">
        <v>0.0263</v>
      </c>
      <c r="F14" s="11" t="n">
        <v>0.0344</v>
      </c>
      <c r="G14" s="11" t="n">
        <v>0.0515</v>
      </c>
      <c r="H14" s="18" t="n">
        <f aca="false">Inputs!$B$26</f>
        <v>0.01775</v>
      </c>
      <c r="I14" s="14" t="str">
        <f aca="false">IF(E14&gt;H14,"YES","no")</f>
        <v>YES</v>
      </c>
      <c r="J14" s="19" t="n">
        <f aca="false">(E14-H14)*100</f>
        <v>0.855</v>
      </c>
      <c r="K14" s="19" t="n">
        <f aca="false">(F14-H14)*100</f>
        <v>1.665</v>
      </c>
    </row>
    <row r="15" customFormat="false" ht="15" hidden="false" customHeight="false" outlineLevel="0" collapsed="false">
      <c r="A15" s="14" t="s">
        <v>88</v>
      </c>
      <c r="B15" s="14" t="s">
        <v>67</v>
      </c>
      <c r="C15" s="14" t="s">
        <v>87</v>
      </c>
      <c r="D15" s="17" t="n">
        <v>16</v>
      </c>
      <c r="E15" s="11" t="n">
        <v>0.005</v>
      </c>
      <c r="F15" s="11" t="n">
        <v>0.0297</v>
      </c>
      <c r="G15" s="11" t="n">
        <v>0.037</v>
      </c>
      <c r="H15" s="18" t="n">
        <f aca="false">Inputs!$B$26</f>
        <v>0.01775</v>
      </c>
      <c r="I15" s="14" t="str">
        <f aca="false">IF(E15&gt;H15,"YES","no")</f>
        <v>no</v>
      </c>
      <c r="J15" s="19" t="n">
        <f aca="false">(E15-H15)*100</f>
        <v>-1.275</v>
      </c>
      <c r="K15" s="19" t="n">
        <f aca="false">(F15-H15)*100</f>
        <v>1.195</v>
      </c>
    </row>
    <row r="16" customFormat="false" ht="15" hidden="false" customHeight="false" outlineLevel="0" collapsed="false">
      <c r="A16" s="14" t="s">
        <v>89</v>
      </c>
      <c r="B16" s="14" t="s">
        <v>67</v>
      </c>
      <c r="C16" s="14" t="s">
        <v>90</v>
      </c>
      <c r="D16" s="17" t="n">
        <v>9</v>
      </c>
      <c r="E16" s="11" t="n">
        <v>0.0598</v>
      </c>
      <c r="F16" s="11" t="n">
        <v>0.0715</v>
      </c>
      <c r="G16" s="11" t="n">
        <v>0.0772</v>
      </c>
      <c r="H16" s="18" t="n">
        <f aca="false">Inputs!$B$26</f>
        <v>0.01775</v>
      </c>
      <c r="I16" s="14" t="str">
        <f aca="false">IF(E16&gt;H16,"YES","no")</f>
        <v>YES</v>
      </c>
      <c r="J16" s="19" t="n">
        <f aca="false">(E16-H16)*100</f>
        <v>4.205</v>
      </c>
      <c r="K16" s="19" t="n">
        <f aca="false">(F16-H16)*100</f>
        <v>5.375</v>
      </c>
    </row>
    <row r="17" customFormat="false" ht="15" hidden="false" customHeight="false" outlineLevel="0" collapsed="false">
      <c r="A17" s="14" t="s">
        <v>91</v>
      </c>
      <c r="B17" s="14" t="s">
        <v>70</v>
      </c>
      <c r="C17" s="14" t="s">
        <v>90</v>
      </c>
      <c r="D17" s="17" t="n">
        <v>9</v>
      </c>
      <c r="E17" s="11" t="n">
        <v>0.0715</v>
      </c>
      <c r="F17" s="11" t="n">
        <v>0.0829</v>
      </c>
      <c r="G17" s="11" t="n">
        <v>0.102</v>
      </c>
      <c r="H17" s="18" t="n">
        <f aca="false">Inputs!$B$26</f>
        <v>0.01775</v>
      </c>
      <c r="I17" s="14" t="str">
        <f aca="false">IF(E17&gt;H17,"YES","no")</f>
        <v>YES</v>
      </c>
      <c r="J17" s="19" t="n">
        <f aca="false">(E17-H17)*100</f>
        <v>5.375</v>
      </c>
      <c r="K17" s="19" t="n">
        <f aca="false">(F17-H17)*100</f>
        <v>6.515</v>
      </c>
    </row>
    <row r="18" customFormat="false" ht="15" hidden="false" customHeight="false" outlineLevel="0" collapsed="false">
      <c r="A18" s="14" t="s">
        <v>92</v>
      </c>
      <c r="B18" s="14" t="s">
        <v>72</v>
      </c>
      <c r="C18" s="14" t="s">
        <v>93</v>
      </c>
      <c r="D18" s="17" t="n">
        <v>31</v>
      </c>
      <c r="E18" s="11" t="n">
        <v>-0.0012</v>
      </c>
      <c r="F18" s="11" t="n">
        <v>0.0101</v>
      </c>
      <c r="G18" s="11" t="n">
        <v>0.0196</v>
      </c>
      <c r="H18" s="18" t="n">
        <f aca="false">Inputs!$B$26</f>
        <v>0.01775</v>
      </c>
      <c r="I18" s="14" t="str">
        <f aca="false">IF(E18&gt;H18,"YES","no")</f>
        <v>no</v>
      </c>
      <c r="J18" s="19" t="n">
        <f aca="false">(E18-H18)*100</f>
        <v>-1.895</v>
      </c>
      <c r="K18" s="19" t="n">
        <f aca="false">(F18-H18)*100</f>
        <v>-0.765</v>
      </c>
    </row>
    <row r="19" customFormat="false" ht="15" hidden="false" customHeight="false" outlineLevel="0" collapsed="false">
      <c r="A19" s="14" t="s">
        <v>94</v>
      </c>
      <c r="B19" s="14" t="s">
        <v>74</v>
      </c>
      <c r="C19" s="14" t="s">
        <v>93</v>
      </c>
      <c r="D19" s="17" t="n">
        <v>33</v>
      </c>
      <c r="E19" s="11" t="n">
        <v>-0.0049</v>
      </c>
      <c r="F19" s="11" t="n">
        <v>0.0247</v>
      </c>
      <c r="G19" s="11" t="n">
        <v>0.0272</v>
      </c>
      <c r="H19" s="18" t="n">
        <f aca="false">Inputs!$B$26</f>
        <v>0.01775</v>
      </c>
      <c r="I19" s="14" t="str">
        <f aca="false">IF(E19&gt;H19,"YES","no")</f>
        <v>no</v>
      </c>
      <c r="J19" s="19" t="n">
        <f aca="false">(E19-H19)*100</f>
        <v>-2.265</v>
      </c>
      <c r="K19" s="19" t="n">
        <f aca="false">(F19-H19)*100</f>
        <v>0.695</v>
      </c>
    </row>
    <row r="20" customFormat="false" ht="15" hidden="false" customHeight="false" outlineLevel="0" collapsed="false">
      <c r="A20" s="14" t="s">
        <v>95</v>
      </c>
      <c r="B20" s="14" t="s">
        <v>96</v>
      </c>
      <c r="C20" s="14" t="s">
        <v>97</v>
      </c>
      <c r="D20" s="17" t="n">
        <v>40</v>
      </c>
      <c r="E20" s="11" t="n">
        <v>0.0515</v>
      </c>
      <c r="F20" s="11" t="n">
        <v>0.1028</v>
      </c>
      <c r="G20" s="11" t="n">
        <v>0.1249</v>
      </c>
      <c r="H20" s="18" t="n">
        <f aca="false">Inputs!$B$26</f>
        <v>0.01775</v>
      </c>
      <c r="I20" s="14" t="str">
        <f aca="false">IF(E20&gt;H20,"YES","no")</f>
        <v>YES</v>
      </c>
      <c r="J20" s="19" t="n">
        <f aca="false">(E20-H20)*100</f>
        <v>3.375</v>
      </c>
      <c r="K20" s="19" t="n">
        <f aca="false">(F20-H20)*100</f>
        <v>8.505</v>
      </c>
    </row>
    <row r="21" customFormat="false" ht="15" hidden="false" customHeight="false" outlineLevel="0" collapsed="false">
      <c r="A21" s="14" t="s">
        <v>98</v>
      </c>
      <c r="B21" s="14" t="s">
        <v>96</v>
      </c>
      <c r="C21" s="14" t="s">
        <v>99</v>
      </c>
      <c r="D21" s="17" t="n">
        <v>30</v>
      </c>
      <c r="E21" s="11" t="n">
        <v>0.0272</v>
      </c>
      <c r="F21" s="11" t="n">
        <v>0.0579</v>
      </c>
      <c r="G21" s="11" t="n">
        <v>0.1029</v>
      </c>
      <c r="H21" s="18" t="n">
        <f aca="false">Inputs!$B$26</f>
        <v>0.01775</v>
      </c>
      <c r="I21" s="14" t="str">
        <f aca="false">IF(E21&gt;H21,"YES","no")</f>
        <v>YES</v>
      </c>
      <c r="J21" s="19" t="n">
        <f aca="false">(E21-H21)*100</f>
        <v>0.945</v>
      </c>
      <c r="K21" s="19" t="n">
        <f aca="false">(F21-H21)*100</f>
        <v>4.015</v>
      </c>
    </row>
    <row r="22" customFormat="false" ht="15" hidden="false" customHeight="false" outlineLevel="0" collapsed="false">
      <c r="A22" s="14" t="s">
        <v>100</v>
      </c>
      <c r="B22" s="14" t="s">
        <v>74</v>
      </c>
      <c r="C22" s="14" t="s">
        <v>101</v>
      </c>
      <c r="D22" s="17" t="n">
        <v>30</v>
      </c>
      <c r="E22" s="11" t="n">
        <v>-0.0212</v>
      </c>
      <c r="F22" s="11" t="n">
        <v>0.04</v>
      </c>
      <c r="G22" s="11" t="n">
        <v>0.0419</v>
      </c>
      <c r="H22" s="18" t="n">
        <f aca="false">Inputs!$B$26</f>
        <v>0.01775</v>
      </c>
      <c r="I22" s="14" t="str">
        <f aca="false">IF(E22&gt;H22,"YES","no")</f>
        <v>no</v>
      </c>
      <c r="J22" s="19" t="n">
        <f aca="false">(E22-H22)*100</f>
        <v>-3.895</v>
      </c>
      <c r="K22" s="19" t="n">
        <f aca="false">(F22-H22)*100</f>
        <v>2.225</v>
      </c>
    </row>
    <row r="23" customFormat="false" ht="15" hidden="false" customHeight="false" outlineLevel="0" collapsed="false">
      <c r="A23" s="14" t="s">
        <v>102</v>
      </c>
      <c r="B23" s="14" t="s">
        <v>103</v>
      </c>
      <c r="C23" s="14" t="s">
        <v>104</v>
      </c>
      <c r="D23" s="17" t="n">
        <v>39</v>
      </c>
      <c r="E23" s="11" t="n">
        <v>0.0146</v>
      </c>
      <c r="F23" s="11" t="n">
        <v>0.036</v>
      </c>
      <c r="G23" s="11" t="n">
        <v>0.0739</v>
      </c>
      <c r="H23" s="18" t="n">
        <f aca="false">Inputs!$B$26</f>
        <v>0.01775</v>
      </c>
      <c r="I23" s="14" t="str">
        <f aca="false">IF(E23&gt;H23,"YES","no")</f>
        <v>no</v>
      </c>
      <c r="J23" s="19" t="n">
        <f aca="false">(E23-H23)*100</f>
        <v>-0.315</v>
      </c>
      <c r="K23" s="19" t="n">
        <f aca="false">(F23-H23)*100</f>
        <v>1.825</v>
      </c>
    </row>
    <row r="24" customFormat="false" ht="15" hidden="false" customHeight="false" outlineLevel="0" collapsed="false">
      <c r="A24" s="14" t="s">
        <v>105</v>
      </c>
      <c r="B24" s="14" t="s">
        <v>106</v>
      </c>
      <c r="C24" s="14" t="s">
        <v>107</v>
      </c>
      <c r="D24" s="17" t="n">
        <v>30</v>
      </c>
      <c r="E24" s="11" t="n">
        <v>0.0174</v>
      </c>
      <c r="F24" s="11" t="n">
        <v>0.0308</v>
      </c>
      <c r="G24" s="11" t="n">
        <v>0.0401</v>
      </c>
      <c r="H24" s="18" t="n">
        <f aca="false">Inputs!$B$26</f>
        <v>0.01775</v>
      </c>
      <c r="I24" s="14" t="str">
        <f aca="false">IF(E24&gt;H24,"YES","no")</f>
        <v>no</v>
      </c>
      <c r="J24" s="19" t="n">
        <f aca="false">(E24-H24)*100</f>
        <v>-0.035</v>
      </c>
      <c r="K24" s="19" t="n">
        <f aca="false">(F24-H24)*100</f>
        <v>1.305</v>
      </c>
    </row>
    <row r="25" customFormat="false" ht="15" hidden="false" customHeight="false" outlineLevel="0" collapsed="false">
      <c r="A25" s="14" t="s">
        <v>108</v>
      </c>
      <c r="B25" s="14" t="s">
        <v>109</v>
      </c>
      <c r="C25" s="14" t="s">
        <v>83</v>
      </c>
      <c r="D25" s="17" t="n">
        <v>45</v>
      </c>
      <c r="E25" s="11" t="n">
        <v>0.0206</v>
      </c>
      <c r="F25" s="11" t="n">
        <v>0.0541</v>
      </c>
      <c r="G25" s="11" t="n">
        <v>0.1288</v>
      </c>
      <c r="H25" s="18" t="n">
        <f aca="false">Inputs!$B$26</f>
        <v>0.01775</v>
      </c>
      <c r="I25" s="14" t="str">
        <f aca="false">IF(E25&gt;H25,"YES","no")</f>
        <v>YES</v>
      </c>
      <c r="J25" s="19" t="n">
        <f aca="false">(E25-H25)*100</f>
        <v>0.285</v>
      </c>
      <c r="K25" s="19" t="n">
        <f aca="false">(F25-H25)*100</f>
        <v>3.635</v>
      </c>
    </row>
    <row r="26" customFormat="false" ht="15" hidden="false" customHeight="false" outlineLevel="0" collapsed="false">
      <c r="A26" s="14" t="s">
        <v>110</v>
      </c>
      <c r="B26" s="14" t="s">
        <v>111</v>
      </c>
      <c r="C26" s="14" t="s">
        <v>112</v>
      </c>
      <c r="D26" s="17" t="n">
        <v>12</v>
      </c>
      <c r="E26" s="11" t="n">
        <v>0.0072</v>
      </c>
      <c r="F26" s="11" t="n">
        <v>0.8374</v>
      </c>
      <c r="G26" s="11" t="n">
        <v>0.5999</v>
      </c>
      <c r="H26" s="18" t="n">
        <f aca="false">Inputs!$B$26</f>
        <v>0.01775</v>
      </c>
      <c r="I26" s="14" t="str">
        <f aca="false">IF(E26&gt;H26,"YES","no")</f>
        <v>no</v>
      </c>
      <c r="J26" s="19" t="n">
        <f aca="false">(E26-H26)*100</f>
        <v>-1.055</v>
      </c>
      <c r="K26" s="19" t="n">
        <f aca="false">(F26-H26)*100</f>
        <v>81.965</v>
      </c>
    </row>
    <row r="27" customFormat="false" ht="15" hidden="false" customHeight="false" outlineLevel="0" collapsed="false">
      <c r="A27" s="14" t="s">
        <v>113</v>
      </c>
      <c r="B27" s="14" t="s">
        <v>96</v>
      </c>
      <c r="C27" s="14" t="s">
        <v>114</v>
      </c>
      <c r="D27" s="17" t="n">
        <v>23</v>
      </c>
      <c r="E27" s="11" t="n">
        <v>-0.03</v>
      </c>
      <c r="F27" s="11" t="n">
        <v>0.3294</v>
      </c>
      <c r="G27" s="11" t="n">
        <v>0.3148</v>
      </c>
      <c r="H27" s="18" t="n">
        <f aca="false">Inputs!$B$26</f>
        <v>0.01775</v>
      </c>
      <c r="I27" s="14" t="str">
        <f aca="false">IF(E27&gt;H27,"YES","no")</f>
        <v>no</v>
      </c>
      <c r="J27" s="19" t="n">
        <f aca="false">(E27-H27)*100</f>
        <v>-4.775</v>
      </c>
      <c r="K27" s="19" t="n">
        <f aca="false">(F27-H27)*100</f>
        <v>31.165</v>
      </c>
    </row>
    <row r="28" customFormat="false" ht="15" hidden="false" customHeight="false" outlineLevel="0" collapsed="false">
      <c r="A28" s="14" t="s">
        <v>115</v>
      </c>
      <c r="B28" s="14" t="s">
        <v>74</v>
      </c>
      <c r="C28" s="14" t="s">
        <v>116</v>
      </c>
      <c r="D28" s="17" t="n">
        <v>22</v>
      </c>
      <c r="E28" s="11" t="n">
        <v>0.0185</v>
      </c>
      <c r="F28" s="11" t="n">
        <v>0.0356</v>
      </c>
      <c r="G28" s="11" t="n">
        <v>0.0662</v>
      </c>
      <c r="H28" s="18" t="n">
        <f aca="false">Inputs!$B$26</f>
        <v>0.01775</v>
      </c>
      <c r="I28" s="14" t="str">
        <f aca="false">IF(E28&gt;H28,"YES","no")</f>
        <v>YES</v>
      </c>
      <c r="J28" s="19" t="n">
        <f aca="false">(E28-H28)*100</f>
        <v>0.0750000000000001</v>
      </c>
      <c r="K28" s="19" t="n">
        <f aca="false">(F28-H28)*100</f>
        <v>1.785</v>
      </c>
    </row>
    <row r="29" customFormat="false" ht="15" hidden="false" customHeight="false" outlineLevel="0" collapsed="false">
      <c r="A29" s="14" t="s">
        <v>117</v>
      </c>
      <c r="B29" s="14" t="s">
        <v>67</v>
      </c>
      <c r="C29" s="14" t="s">
        <v>118</v>
      </c>
      <c r="D29" s="17" t="n">
        <v>17</v>
      </c>
      <c r="E29" s="11" t="n">
        <v>0.0094</v>
      </c>
      <c r="F29" s="11" t="n">
        <v>0.0298</v>
      </c>
      <c r="G29" s="11" t="n">
        <v>0.0341</v>
      </c>
      <c r="H29" s="18" t="n">
        <f aca="false">Inputs!$B$26</f>
        <v>0.01775</v>
      </c>
      <c r="I29" s="14" t="str">
        <f aca="false">IF(E29&gt;H29,"YES","no")</f>
        <v>no</v>
      </c>
      <c r="J29" s="19" t="n">
        <f aca="false">(E29-H29)*100</f>
        <v>-0.835</v>
      </c>
      <c r="K29" s="19" t="n">
        <f aca="false">(F29-H29)*100</f>
        <v>1.205</v>
      </c>
    </row>
    <row r="30" customFormat="false" ht="15" hidden="false" customHeight="false" outlineLevel="0" collapsed="false">
      <c r="A30" s="14" t="s">
        <v>119</v>
      </c>
      <c r="B30" s="14" t="s">
        <v>70</v>
      </c>
      <c r="C30" s="14" t="s">
        <v>118</v>
      </c>
      <c r="D30" s="17" t="n">
        <v>11</v>
      </c>
      <c r="E30" s="11" t="n">
        <v>0.0312</v>
      </c>
      <c r="F30" s="11" t="n">
        <v>0.0368</v>
      </c>
      <c r="G30" s="11" t="n">
        <v>0.0502</v>
      </c>
      <c r="H30" s="18" t="n">
        <f aca="false">Inputs!$B$26</f>
        <v>0.01775</v>
      </c>
      <c r="I30" s="14" t="str">
        <f aca="false">IF(E30&gt;H30,"YES","no")</f>
        <v>YES</v>
      </c>
      <c r="J30" s="19" t="n">
        <f aca="false">(E30-H30)*100</f>
        <v>1.345</v>
      </c>
      <c r="K30" s="19" t="n">
        <f aca="false">(F30-H30)*100</f>
        <v>1.905</v>
      </c>
    </row>
    <row r="31" customFormat="false" ht="15" hidden="false" customHeight="false" outlineLevel="0" collapsed="false">
      <c r="A31" s="14" t="s">
        <v>120</v>
      </c>
      <c r="B31" s="14" t="s">
        <v>67</v>
      </c>
      <c r="C31" s="14" t="s">
        <v>121</v>
      </c>
      <c r="D31" s="17" t="n">
        <v>18</v>
      </c>
      <c r="E31" s="11" t="n">
        <v>0.0025</v>
      </c>
      <c r="F31" s="11" t="n">
        <v>0.0261</v>
      </c>
      <c r="G31" s="11" t="n">
        <v>0.027</v>
      </c>
      <c r="H31" s="18" t="n">
        <f aca="false">Inputs!$B$26</f>
        <v>0.01775</v>
      </c>
      <c r="I31" s="14" t="str">
        <f aca="false">IF(E31&gt;H31,"YES","no")</f>
        <v>no</v>
      </c>
      <c r="J31" s="19" t="n">
        <f aca="false">(E31-H31)*100</f>
        <v>-1.525</v>
      </c>
      <c r="K31" s="19" t="n">
        <f aca="false">(F31-H31)*100</f>
        <v>0.835</v>
      </c>
    </row>
    <row r="32" customFormat="false" ht="15" hidden="false" customHeight="false" outlineLevel="0" collapsed="false">
      <c r="A32" s="14" t="s">
        <v>122</v>
      </c>
      <c r="B32" s="14" t="s">
        <v>74</v>
      </c>
      <c r="C32" s="14" t="s">
        <v>123</v>
      </c>
      <c r="D32" s="17" t="n">
        <v>34</v>
      </c>
      <c r="E32" s="11" t="n">
        <v>0.0161</v>
      </c>
      <c r="F32" s="11" t="n">
        <v>0.0597</v>
      </c>
      <c r="G32" s="11" t="n">
        <v>0.0527</v>
      </c>
      <c r="H32" s="18" t="n">
        <f aca="false">Inputs!$B$26</f>
        <v>0.01775</v>
      </c>
      <c r="I32" s="14" t="str">
        <f aca="false">IF(E32&gt;H32,"YES","no")</f>
        <v>no</v>
      </c>
      <c r="J32" s="19" t="n">
        <f aca="false">(E32-H32)*100</f>
        <v>-0.165</v>
      </c>
      <c r="K32" s="19" t="n">
        <f aca="false">(F32-H32)*100</f>
        <v>4.195</v>
      </c>
    </row>
    <row r="33" customFormat="false" ht="15" hidden="false" customHeight="false" outlineLevel="0" collapsed="false">
      <c r="A33" s="14" t="s">
        <v>124</v>
      </c>
      <c r="B33" s="14" t="s">
        <v>125</v>
      </c>
      <c r="C33" s="14" t="s">
        <v>123</v>
      </c>
      <c r="D33" s="17" t="n">
        <v>26</v>
      </c>
      <c r="E33" s="11" t="n">
        <v>0.0201</v>
      </c>
      <c r="F33" s="11" t="n">
        <v>0.0443</v>
      </c>
      <c r="G33" s="11" t="n">
        <v>0.0515</v>
      </c>
      <c r="H33" s="18" t="n">
        <f aca="false">Inputs!$B$26</f>
        <v>0.01775</v>
      </c>
      <c r="I33" s="14" t="str">
        <f aca="false">IF(E33&gt;H33,"YES","no")</f>
        <v>YES</v>
      </c>
      <c r="J33" s="19" t="n">
        <f aca="false">(E33-H33)*100</f>
        <v>0.235</v>
      </c>
      <c r="K33" s="19" t="n">
        <f aca="false">(F33-H33)*100</f>
        <v>2.655</v>
      </c>
    </row>
    <row r="34" customFormat="false" ht="15" hidden="false" customHeight="false" outlineLevel="0" collapsed="false">
      <c r="A34" s="14" t="s">
        <v>126</v>
      </c>
      <c r="B34" s="14" t="s">
        <v>127</v>
      </c>
      <c r="C34" s="14" t="s">
        <v>128</v>
      </c>
      <c r="D34" s="17" t="n">
        <v>31</v>
      </c>
      <c r="E34" s="11" t="n">
        <v>0.0056</v>
      </c>
      <c r="F34" s="11" t="n">
        <v>0.0262</v>
      </c>
      <c r="G34" s="11" t="n">
        <v>0.0323</v>
      </c>
      <c r="H34" s="18" t="n">
        <f aca="false">Inputs!$B$26</f>
        <v>0.01775</v>
      </c>
      <c r="I34" s="14" t="str">
        <f aca="false">IF(E34&gt;H34,"YES","no")</f>
        <v>no</v>
      </c>
      <c r="J34" s="19" t="n">
        <f aca="false">(E34-H34)*100</f>
        <v>-1.215</v>
      </c>
      <c r="K34" s="19" t="n">
        <f aca="false">(F34-H34)*100</f>
        <v>0.845</v>
      </c>
    </row>
    <row r="35" customFormat="false" ht="15" hidden="false" customHeight="false" outlineLevel="0" collapsed="false">
      <c r="A35" s="14" t="s">
        <v>129</v>
      </c>
      <c r="B35" s="14" t="s">
        <v>130</v>
      </c>
      <c r="C35" s="14" t="s">
        <v>116</v>
      </c>
      <c r="D35" s="17" t="n">
        <v>18</v>
      </c>
      <c r="E35" s="11" t="n">
        <v>0.0011</v>
      </c>
      <c r="F35" s="11" t="n">
        <v>0.0347</v>
      </c>
      <c r="G35" s="11" t="n">
        <v>0.0331</v>
      </c>
      <c r="H35" s="18" t="n">
        <f aca="false">Inputs!$B$26</f>
        <v>0.01775</v>
      </c>
      <c r="I35" s="14" t="str">
        <f aca="false">IF(E35&gt;H35,"YES","no")</f>
        <v>no</v>
      </c>
      <c r="J35" s="19" t="n">
        <f aca="false">(E35-H35)*100</f>
        <v>-1.665</v>
      </c>
      <c r="K35" s="19" t="n">
        <f aca="false">(F35-H35)*100</f>
        <v>1.695</v>
      </c>
    </row>
    <row r="36" customFormat="false" ht="15" hidden="false" customHeight="false" outlineLevel="0" collapsed="false">
      <c r="A36" s="14" t="s">
        <v>131</v>
      </c>
      <c r="B36" s="14" t="s">
        <v>130</v>
      </c>
      <c r="C36" s="14" t="s">
        <v>132</v>
      </c>
      <c r="D36" s="17" t="n">
        <v>26</v>
      </c>
      <c r="E36" s="11" t="n">
        <v>-0.0317</v>
      </c>
      <c r="F36" s="11" t="n">
        <v>0.0369</v>
      </c>
      <c r="G36" s="11" t="n">
        <v>0.0435</v>
      </c>
      <c r="H36" s="18" t="n">
        <f aca="false">Inputs!$B$26</f>
        <v>0.01775</v>
      </c>
      <c r="I36" s="14" t="str">
        <f aca="false">IF(E36&gt;H36,"YES","no")</f>
        <v>no</v>
      </c>
      <c r="J36" s="19" t="n">
        <f aca="false">(E36-H36)*100</f>
        <v>-4.945</v>
      </c>
      <c r="K36" s="19" t="n">
        <f aca="false">(F36-H36)*100</f>
        <v>1.915</v>
      </c>
    </row>
    <row r="37" customFormat="false" ht="15" hidden="false" customHeight="false" outlineLevel="0" collapsed="false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</row>
    <row r="38" customFormat="false" ht="15" hidden="false" customHeight="false" outlineLevel="0" collapsed="false">
      <c r="A38" s="15" t="s">
        <v>133</v>
      </c>
      <c r="B38" s="14"/>
      <c r="C38" s="14"/>
      <c r="D38" s="14"/>
      <c r="E38" s="14" t="n">
        <f aca="false">COUNTIF(I2:I36,"YES")</f>
        <v>11</v>
      </c>
      <c r="F38" s="14"/>
      <c r="G38" s="14"/>
      <c r="H38" s="14"/>
      <c r="I38" s="14"/>
      <c r="J38" s="14"/>
      <c r="K38" s="14"/>
    </row>
    <row r="39" customFormat="false" ht="15" hidden="false" customHeight="false" outlineLevel="0" collapsed="false">
      <c r="A39" s="15" t="s">
        <v>134</v>
      </c>
      <c r="B39" s="14"/>
      <c r="C39" s="14"/>
      <c r="D39" s="14"/>
      <c r="E39" s="14" t="n">
        <f aca="false">SUMPRODUCT(--(F2:F36&gt;H2:H36))</f>
        <v>33</v>
      </c>
      <c r="F39" s="14"/>
      <c r="G39" s="14"/>
      <c r="H39" s="14"/>
      <c r="I39" s="14"/>
      <c r="J39" s="14"/>
      <c r="K39" s="14"/>
    </row>
    <row r="40" customFormat="false" ht="15" hidden="false" customHeight="false" outlineLevel="0" collapsed="false">
      <c r="A40" s="20" t="s">
        <v>135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14"/>
    <col collapsed="false" customWidth="true" hidden="false" outlineLevel="0" max="5" min="5" style="0" width="15"/>
    <col collapsed="false" customWidth="true" hidden="false" outlineLevel="0" max="6" min="6" style="0" width="11"/>
    <col collapsed="false" customWidth="true" hidden="false" outlineLevel="0" max="8" min="7" style="0" width="18"/>
    <col collapsed="false" customWidth="true" hidden="false" outlineLevel="0" max="9" min="9" style="0" width="20"/>
  </cols>
  <sheetData>
    <row r="1" customFormat="false" ht="26.85" hidden="false" customHeight="false" outlineLevel="0" collapsed="false">
      <c r="A1" s="3" t="s">
        <v>55</v>
      </c>
      <c r="B1" s="3" t="s">
        <v>136</v>
      </c>
      <c r="C1" s="3" t="s">
        <v>137</v>
      </c>
      <c r="D1" s="3" t="s">
        <v>60</v>
      </c>
      <c r="E1" s="3" t="s">
        <v>59</v>
      </c>
      <c r="F1" s="3" t="s">
        <v>62</v>
      </c>
      <c r="G1" s="3" t="s">
        <v>138</v>
      </c>
      <c r="H1" s="3" t="s">
        <v>139</v>
      </c>
      <c r="I1" s="3" t="s">
        <v>140</v>
      </c>
    </row>
    <row r="2" customFormat="false" ht="15" hidden="false" customHeight="false" outlineLevel="0" collapsed="false">
      <c r="A2" s="14" t="s">
        <v>141</v>
      </c>
      <c r="B2" s="21" t="n">
        <f aca="false">Inputs!$B$12</f>
        <v>9.78</v>
      </c>
      <c r="C2" s="18" t="n">
        <f aca="false">Corridors!G3</f>
        <v>0.0502</v>
      </c>
      <c r="D2" s="18" t="n">
        <f aca="false">Corridors!F3</f>
        <v>0.0306</v>
      </c>
      <c r="E2" s="18" t="n">
        <f aca="false">Corridors!E3</f>
        <v>0.0144</v>
      </c>
      <c r="F2" s="18" t="n">
        <f aca="false">Inputs!$B$26</f>
        <v>0.01775</v>
      </c>
      <c r="G2" s="22" t="n">
        <f aca="false">MAX(0,B2*1000*(C2-F2))</f>
        <v>317.361</v>
      </c>
      <c r="H2" s="22" t="n">
        <f aca="false">MAX(0,B2*1000*(D2-F2))</f>
        <v>125.673</v>
      </c>
      <c r="I2" s="22" t="n">
        <f aca="false">MAX(0,B2*1000*(E2-F2))</f>
        <v>0</v>
      </c>
    </row>
    <row r="3" customFormat="false" ht="15" hidden="false" customHeight="false" outlineLevel="0" collapsed="false">
      <c r="A3" s="14" t="s">
        <v>142</v>
      </c>
      <c r="B3" s="21" t="n">
        <f aca="false">Inputs!$B$13</f>
        <v>8.81</v>
      </c>
      <c r="C3" s="18" t="n">
        <f aca="false">Corridors!G2</f>
        <v>0.0217</v>
      </c>
      <c r="D3" s="18" t="n">
        <f aca="false">Corridors!F2</f>
        <v>0.0063</v>
      </c>
      <c r="E3" s="18" t="n">
        <f aca="false">Corridors!E2</f>
        <v>-0.0049</v>
      </c>
      <c r="F3" s="18" t="n">
        <f aca="false">Inputs!$B$26</f>
        <v>0.01775</v>
      </c>
      <c r="G3" s="22" t="n">
        <f aca="false">MAX(0,B3*1000*(C3-F3))</f>
        <v>34.7995</v>
      </c>
      <c r="H3" s="22" t="n">
        <f aca="false">MAX(0,B3*1000*(D3-F3))</f>
        <v>0</v>
      </c>
      <c r="I3" s="22" t="n">
        <f aca="false">MAX(0,B3*1000*(E3-F3))</f>
        <v>0</v>
      </c>
    </row>
    <row r="4" customFormat="false" ht="15" hidden="false" customHeight="false" outlineLevel="0" collapsed="false">
      <c r="A4" s="14" t="s">
        <v>143</v>
      </c>
      <c r="B4" s="21" t="n">
        <f aca="false">Inputs!$B$14</f>
        <v>6.33</v>
      </c>
      <c r="C4" s="18" t="n">
        <f aca="false">Corridors!G4</f>
        <v>0.0239</v>
      </c>
      <c r="D4" s="18" t="n">
        <f aca="false">Corridors!F4</f>
        <v>0.0251</v>
      </c>
      <c r="E4" s="18" t="n">
        <f aca="false">Corridors!E4</f>
        <v>-0.0144</v>
      </c>
      <c r="F4" s="18" t="n">
        <f aca="false">Inputs!$B$26</f>
        <v>0.01775</v>
      </c>
      <c r="G4" s="22" t="n">
        <f aca="false">MAX(0,B4*1000*(C4-F4))</f>
        <v>38.9295</v>
      </c>
      <c r="H4" s="22" t="n">
        <f aca="false">MAX(0,B4*1000*(D4-F4))</f>
        <v>46.5255</v>
      </c>
      <c r="I4" s="22" t="n">
        <f aca="false">MAX(0,B4*1000*(E4-F4))</f>
        <v>0</v>
      </c>
    </row>
    <row r="5" customFormat="false" ht="15" hidden="false" customHeight="false" outlineLevel="0" collapsed="false">
      <c r="A5" s="15" t="s">
        <v>144</v>
      </c>
      <c r="B5" s="23" t="n">
        <f aca="false">SUM(B2:B4)</f>
        <v>24.92</v>
      </c>
      <c r="C5" s="14"/>
      <c r="D5" s="14"/>
      <c r="E5" s="14"/>
      <c r="F5" s="14"/>
      <c r="G5" s="24" t="n">
        <f aca="false">SUM(G2:G4)</f>
        <v>391.09</v>
      </c>
      <c r="H5" s="24" t="n">
        <f aca="false">SUM(H2:H4)</f>
        <v>172.1985</v>
      </c>
      <c r="I5" s="24" t="n">
        <f aca="false">SUM(I2:I4)</f>
        <v>0</v>
      </c>
    </row>
    <row r="6" customFormat="false" ht="15" hidden="false" customHeight="false" outlineLevel="0" collapsed="false">
      <c r="A6" s="14"/>
      <c r="B6" s="14"/>
      <c r="C6" s="14"/>
      <c r="D6" s="14"/>
      <c r="E6" s="14"/>
      <c r="F6" s="14"/>
      <c r="G6" s="14"/>
      <c r="H6" s="14"/>
      <c r="I6" s="14"/>
    </row>
    <row r="7" customFormat="false" ht="15" hidden="false" customHeight="false" outlineLevel="0" collapsed="false">
      <c r="A7" s="20" t="s">
        <v>145</v>
      </c>
      <c r="B7" s="14"/>
      <c r="C7" s="14"/>
      <c r="D7" s="14"/>
      <c r="E7" s="14"/>
      <c r="F7" s="14"/>
      <c r="G7" s="14"/>
      <c r="H7" s="14"/>
      <c r="I7" s="14"/>
    </row>
    <row r="8" customFormat="false" ht="15" hidden="false" customHeight="false" outlineLevel="0" collapsed="false">
      <c r="A8" s="20" t="s">
        <v>146</v>
      </c>
      <c r="B8" s="14"/>
      <c r="C8" s="14"/>
      <c r="D8" s="14"/>
      <c r="E8" s="14"/>
      <c r="F8" s="14"/>
      <c r="G8" s="14"/>
      <c r="H8" s="14"/>
      <c r="I8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6" min="2" style="0" width="13"/>
  </cols>
  <sheetData>
    <row r="1" customFormat="false" ht="15" hidden="false" customHeight="false" outlineLevel="0" collapsed="false">
      <c r="A1" s="3" t="s">
        <v>147</v>
      </c>
      <c r="B1" s="3" t="s">
        <v>148</v>
      </c>
      <c r="C1" s="3" t="s">
        <v>149</v>
      </c>
      <c r="D1" s="3" t="s">
        <v>150</v>
      </c>
      <c r="E1" s="3" t="s">
        <v>151</v>
      </c>
      <c r="F1" s="3" t="s">
        <v>152</v>
      </c>
    </row>
    <row r="2" customFormat="false" ht="15" hidden="false" customHeight="false" outlineLevel="0" collapsed="false">
      <c r="A2" s="2" t="s">
        <v>153</v>
      </c>
      <c r="B2" s="25" t="n">
        <v>0</v>
      </c>
      <c r="C2" s="25" t="n">
        <v>-0.0025</v>
      </c>
      <c r="D2" s="25" t="n">
        <v>-0.005</v>
      </c>
      <c r="E2" s="25" t="n">
        <v>-0.01</v>
      </c>
      <c r="F2" s="25" t="n">
        <v>-0.015</v>
      </c>
    </row>
    <row r="3" customFormat="false" ht="15" hidden="false" customHeight="false" outlineLevel="0" collapsed="false">
      <c r="A3" s="2" t="s">
        <v>154</v>
      </c>
      <c r="B3" s="16" t="n">
        <f aca="false">Inputs!$B$7+B2</f>
        <v>0.0394</v>
      </c>
      <c r="C3" s="16" t="n">
        <f aca="false">Inputs!$B$7+C2</f>
        <v>0.0369</v>
      </c>
      <c r="D3" s="16" t="n">
        <f aca="false">Inputs!$B$7+D2</f>
        <v>0.0344</v>
      </c>
      <c r="E3" s="16" t="n">
        <f aca="false">Inputs!$B$7+E2</f>
        <v>0.0294</v>
      </c>
      <c r="F3" s="16" t="n">
        <f aca="false">Inputs!$B$7+F2</f>
        <v>0.0244</v>
      </c>
    </row>
    <row r="4" customFormat="false" ht="15" hidden="false" customHeight="false" outlineLevel="0" collapsed="false">
      <c r="A4" s="2" t="s">
        <v>155</v>
      </c>
      <c r="B4" s="26" t="n">
        <f aca="false">Inputs!$B$6</f>
        <v>73</v>
      </c>
      <c r="C4" s="26" t="n">
        <f aca="false">Inputs!$B$6</f>
        <v>73</v>
      </c>
      <c r="D4" s="26" t="n">
        <f aca="false">Inputs!$B$6</f>
        <v>73</v>
      </c>
      <c r="E4" s="26" t="n">
        <f aca="false">Inputs!$B$6</f>
        <v>73</v>
      </c>
      <c r="F4" s="26" t="n">
        <f aca="false">Inputs!$B$6</f>
        <v>73</v>
      </c>
    </row>
    <row r="5" customFormat="false" ht="15" hidden="false" customHeight="false" outlineLevel="0" collapsed="false">
      <c r="A5" s="2" t="s">
        <v>156</v>
      </c>
      <c r="B5" s="22" t="n">
        <f aca="false">B4*1000*B3</f>
        <v>2876.2</v>
      </c>
      <c r="C5" s="22" t="n">
        <f aca="false">C4*1000*C3</f>
        <v>2693.7</v>
      </c>
      <c r="D5" s="22" t="n">
        <f aca="false">D4*1000*D3</f>
        <v>2511.2</v>
      </c>
      <c r="E5" s="22" t="n">
        <f aca="false">E4*1000*E3</f>
        <v>2146.2</v>
      </c>
      <c r="F5" s="22" t="n">
        <f aca="false">F4*1000*F3</f>
        <v>1781.2</v>
      </c>
    </row>
    <row r="6" customFormat="false" ht="15" hidden="false" customHeight="false" outlineLevel="0" collapsed="false">
      <c r="A6" s="2" t="s">
        <v>157</v>
      </c>
      <c r="B6" s="27" t="n">
        <f aca="false">Inputs!$B$9</f>
        <v>160</v>
      </c>
      <c r="C6" s="27" t="n">
        <f aca="false">Inputs!$B$9</f>
        <v>160</v>
      </c>
      <c r="D6" s="27" t="n">
        <f aca="false">Inputs!$B$9</f>
        <v>160</v>
      </c>
      <c r="E6" s="27" t="n">
        <f aca="false">Inputs!$B$9</f>
        <v>160</v>
      </c>
      <c r="F6" s="27" t="n">
        <f aca="false">Inputs!$B$9</f>
        <v>160</v>
      </c>
    </row>
    <row r="7" customFormat="false" ht="15" hidden="false" customHeight="false" outlineLevel="0" collapsed="false">
      <c r="A7" s="2" t="s">
        <v>158</v>
      </c>
      <c r="B7" s="22" t="n">
        <f aca="false">B5+B6</f>
        <v>3036.2</v>
      </c>
      <c r="C7" s="22" t="n">
        <f aca="false">C5+C6</f>
        <v>2853.7</v>
      </c>
      <c r="D7" s="22" t="n">
        <f aca="false">D5+D6</f>
        <v>2671.2</v>
      </c>
      <c r="E7" s="22" t="n">
        <f aca="false">E5+E6</f>
        <v>2306.2</v>
      </c>
      <c r="F7" s="22" t="n">
        <f aca="false">F5+F6</f>
        <v>1941.2</v>
      </c>
    </row>
    <row r="8" customFormat="false" ht="15" hidden="false" customHeight="false" outlineLevel="0" collapsed="false">
      <c r="A8" s="2" t="s">
        <v>159</v>
      </c>
      <c r="B8" s="22" t="n">
        <f aca="false">-B5*Inputs!$B$8</f>
        <v>-1740.101</v>
      </c>
      <c r="C8" s="22" t="n">
        <f aca="false">-C5*Inputs!$B$8</f>
        <v>-1629.6885</v>
      </c>
      <c r="D8" s="22" t="n">
        <f aca="false">-D5*Inputs!$B$8</f>
        <v>-1519.276</v>
      </c>
      <c r="E8" s="22" t="n">
        <f aca="false">-E5*Inputs!$B$8</f>
        <v>-1298.451</v>
      </c>
      <c r="F8" s="22" t="n">
        <f aca="false">-F5*Inputs!$B$8</f>
        <v>-1077.626</v>
      </c>
    </row>
    <row r="9" customFormat="false" ht="15" hidden="false" customHeight="false" outlineLevel="0" collapsed="false">
      <c r="A9" s="2" t="s">
        <v>160</v>
      </c>
      <c r="B9" s="22" t="n">
        <f aca="false">B7+B8</f>
        <v>1296.099</v>
      </c>
      <c r="C9" s="22" t="n">
        <f aca="false">C7+C8</f>
        <v>1224.0115</v>
      </c>
      <c r="D9" s="22" t="n">
        <f aca="false">D7+D8</f>
        <v>1151.924</v>
      </c>
      <c r="E9" s="22" t="n">
        <f aca="false">E7+E8</f>
        <v>1007.749</v>
      </c>
      <c r="F9" s="22" t="n">
        <f aca="false">F7+F8</f>
        <v>863.574</v>
      </c>
    </row>
    <row r="10" customFormat="false" ht="15" hidden="false" customHeight="false" outlineLevel="0" collapsed="false">
      <c r="A10" s="2" t="s">
        <v>161</v>
      </c>
      <c r="B10" s="16" t="n">
        <f aca="false">IF(B7=0,0,B9/B7)</f>
        <v>0.426881957710296</v>
      </c>
      <c r="C10" s="16" t="n">
        <f aca="false">IF(C7=0,0,C9/C7)</f>
        <v>0.428920874653958</v>
      </c>
      <c r="D10" s="16" t="n">
        <f aca="false">IF(D7=0,0,D9/D7)</f>
        <v>0.431238394728961</v>
      </c>
      <c r="E10" s="16" t="n">
        <f aca="false">IF(E7=0,0,E9/E7)</f>
        <v>0.436973809730292</v>
      </c>
      <c r="F10" s="16" t="n">
        <f aca="false">IF(F7=0,0,F9/F7)</f>
        <v>0.444866062229549</v>
      </c>
    </row>
    <row r="11" customFormat="false" ht="15" hidden="false" customHeight="false" outlineLevel="0" collapsed="false">
      <c r="A11" s="2" t="s">
        <v>162</v>
      </c>
      <c r="B11" s="27" t="n">
        <f aca="false">-Inputs!$B$10</f>
        <v>-578</v>
      </c>
      <c r="C11" s="27" t="n">
        <f aca="false">-Inputs!$B$10</f>
        <v>-578</v>
      </c>
      <c r="D11" s="27" t="n">
        <f aca="false">-Inputs!$B$10</f>
        <v>-578</v>
      </c>
      <c r="E11" s="27" t="n">
        <f aca="false">-Inputs!$B$10</f>
        <v>-578</v>
      </c>
      <c r="F11" s="27" t="n">
        <f aca="false">-Inputs!$B$10</f>
        <v>-578</v>
      </c>
    </row>
    <row r="12" customFormat="false" ht="15" hidden="false" customHeight="false" outlineLevel="0" collapsed="false">
      <c r="A12" s="15" t="s">
        <v>163</v>
      </c>
      <c r="B12" s="22" t="n">
        <f aca="false">B9+B11</f>
        <v>718.099</v>
      </c>
      <c r="C12" s="22" t="n">
        <f aca="false">C9+C11</f>
        <v>646.0115</v>
      </c>
      <c r="D12" s="22" t="n">
        <f aca="false">D9+D11</f>
        <v>573.924</v>
      </c>
      <c r="E12" s="22" t="n">
        <f aca="false">E9+E11</f>
        <v>429.749</v>
      </c>
      <c r="F12" s="22" t="n">
        <f aca="false">F9+F11</f>
        <v>285.574</v>
      </c>
    </row>
    <row r="13" customFormat="false" ht="15" hidden="false" customHeight="false" outlineLevel="0" collapsed="false">
      <c r="A13" s="2" t="s">
        <v>164</v>
      </c>
      <c r="B13" s="22" t="n">
        <f aca="false">$B$12-B12</f>
        <v>0</v>
      </c>
      <c r="C13" s="22" t="n">
        <f aca="false">$B$12-C12</f>
        <v>72.0874999999999</v>
      </c>
      <c r="D13" s="22" t="n">
        <f aca="false">$B$12-D12</f>
        <v>144.175</v>
      </c>
      <c r="E13" s="22" t="n">
        <f aca="false">$B$12-E12</f>
        <v>288.35</v>
      </c>
      <c r="F13" s="22" t="n">
        <f aca="false">$B$12-F12</f>
        <v>432.525</v>
      </c>
    </row>
    <row r="14" customFormat="false" ht="15" hidden="false" customHeight="false" outlineLevel="0" collapsed="false">
      <c r="A14" s="2" t="s">
        <v>165</v>
      </c>
      <c r="B14" s="28" t="n">
        <f aca="false">B13/Inputs!$B$11/1000</f>
        <v>0</v>
      </c>
      <c r="C14" s="28" t="n">
        <f aca="false">C13/Inputs!$B$11/1000</f>
        <v>72.0874999999999</v>
      </c>
      <c r="D14" s="28" t="n">
        <f aca="false">D13/Inputs!$B$11/1000</f>
        <v>144.175</v>
      </c>
      <c r="E14" s="28" t="n">
        <f aca="false">E13/Inputs!$B$11/1000</f>
        <v>288.35</v>
      </c>
      <c r="F14" s="28" t="n">
        <f aca="false">F13/Inputs!$B$11/1000</f>
        <v>432.525</v>
      </c>
    </row>
    <row r="15" customFormat="false" ht="15" hidden="false" customHeight="false" outlineLevel="0" collapsed="false">
      <c r="A15" s="14"/>
      <c r="B15" s="14"/>
      <c r="C15" s="14"/>
      <c r="D15" s="14"/>
      <c r="E15" s="14"/>
      <c r="F15" s="14"/>
    </row>
    <row r="16" customFormat="false" ht="15" hidden="false" customHeight="false" outlineLevel="0" collapsed="false">
      <c r="A16" s="20" t="s">
        <v>166</v>
      </c>
      <c r="B16" s="14"/>
      <c r="C16" s="14"/>
      <c r="D16" s="14"/>
      <c r="E16" s="14"/>
      <c r="F16" s="14"/>
    </row>
    <row r="17" customFormat="false" ht="15" hidden="false" customHeight="false" outlineLevel="0" collapsed="false">
      <c r="A17" s="20" t="s">
        <v>167</v>
      </c>
      <c r="B17" s="14"/>
      <c r="C17" s="14"/>
      <c r="D17" s="14"/>
      <c r="E17" s="14"/>
      <c r="F17" s="14"/>
    </row>
    <row r="18" customFormat="false" ht="15" hidden="false" customHeight="false" outlineLevel="0" collapsed="false">
      <c r="A18" s="20" t="s">
        <v>168</v>
      </c>
      <c r="B18" s="14"/>
      <c r="C18" s="14"/>
      <c r="D18" s="14"/>
      <c r="E18" s="14"/>
      <c r="F18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</cols>
  <sheetData>
    <row r="1" customFormat="false" ht="15" hidden="false" customHeight="false" outlineLevel="0" collapsed="false">
      <c r="A1" s="15" t="s">
        <v>169</v>
      </c>
      <c r="B1" s="14"/>
      <c r="C1" s="14"/>
      <c r="D1" s="14"/>
      <c r="E1" s="14"/>
      <c r="F1" s="14"/>
      <c r="G1" s="14"/>
      <c r="H1" s="14"/>
    </row>
    <row r="2" customFormat="false" ht="15" hidden="false" customHeight="false" outlineLevel="0" collapsed="false">
      <c r="A2" s="14"/>
      <c r="B2" s="11" t="n">
        <v>0.02</v>
      </c>
      <c r="C2" s="11" t="n">
        <v>0.025</v>
      </c>
      <c r="D2" s="11" t="n">
        <v>0.03</v>
      </c>
      <c r="E2" s="11" t="n">
        <v>0.035</v>
      </c>
      <c r="F2" s="11" t="n">
        <v>0.04</v>
      </c>
      <c r="G2" s="11" t="n">
        <v>0.045</v>
      </c>
      <c r="H2" s="11" t="n">
        <v>0.05</v>
      </c>
    </row>
    <row r="3" customFormat="false" ht="15" hidden="false" customHeight="false" outlineLevel="0" collapsed="false">
      <c r="A3" s="29" t="n">
        <v>50</v>
      </c>
      <c r="B3" s="22" t="n">
        <f aca="false">$A3*1000*B$2*(1-Inputs!$B$8)+Inputs!$B$9-Inputs!$B$10</f>
        <v>-23</v>
      </c>
      <c r="C3" s="22" t="n">
        <f aca="false">$A3*1000*C$2*(1-Inputs!$B$8)+Inputs!$B$9-Inputs!$B$10</f>
        <v>75.75</v>
      </c>
      <c r="D3" s="22" t="n">
        <f aca="false">$A3*1000*D$2*(1-Inputs!$B$8)+Inputs!$B$9-Inputs!$B$10</f>
        <v>174.5</v>
      </c>
      <c r="E3" s="22" t="n">
        <f aca="false">$A3*1000*E$2*(1-Inputs!$B$8)+Inputs!$B$9-Inputs!$B$10</f>
        <v>273.25</v>
      </c>
      <c r="F3" s="22" t="n">
        <f aca="false">$A3*1000*F$2*(1-Inputs!$B$8)+Inputs!$B$9-Inputs!$B$10</f>
        <v>372</v>
      </c>
      <c r="G3" s="22" t="n">
        <f aca="false">$A3*1000*G$2*(1-Inputs!$B$8)+Inputs!$B$9-Inputs!$B$10</f>
        <v>470.75</v>
      </c>
      <c r="H3" s="22" t="n">
        <f aca="false">$A3*1000*H$2*(1-Inputs!$B$8)+Inputs!$B$9-Inputs!$B$10</f>
        <v>569.5</v>
      </c>
    </row>
    <row r="4" customFormat="false" ht="15" hidden="false" customHeight="false" outlineLevel="0" collapsed="false">
      <c r="A4" s="29" t="n">
        <v>60</v>
      </c>
      <c r="B4" s="22" t="n">
        <f aca="false">$A4*1000*B$2*(1-Inputs!$B$8)+Inputs!$B$9-Inputs!$B$10</f>
        <v>56</v>
      </c>
      <c r="C4" s="22" t="n">
        <f aca="false">$A4*1000*C$2*(1-Inputs!$B$8)+Inputs!$B$9-Inputs!$B$10</f>
        <v>174.5</v>
      </c>
      <c r="D4" s="22" t="n">
        <f aca="false">$A4*1000*D$2*(1-Inputs!$B$8)+Inputs!$B$9-Inputs!$B$10</f>
        <v>293</v>
      </c>
      <c r="E4" s="22" t="n">
        <f aca="false">$A4*1000*E$2*(1-Inputs!$B$8)+Inputs!$B$9-Inputs!$B$10</f>
        <v>411.5</v>
      </c>
      <c r="F4" s="22" t="n">
        <f aca="false">$A4*1000*F$2*(1-Inputs!$B$8)+Inputs!$B$9-Inputs!$B$10</f>
        <v>530</v>
      </c>
      <c r="G4" s="22" t="n">
        <f aca="false">$A4*1000*G$2*(1-Inputs!$B$8)+Inputs!$B$9-Inputs!$B$10</f>
        <v>648.5</v>
      </c>
      <c r="H4" s="22" t="n">
        <f aca="false">$A4*1000*H$2*(1-Inputs!$B$8)+Inputs!$B$9-Inputs!$B$10</f>
        <v>767</v>
      </c>
    </row>
    <row r="5" customFormat="false" ht="15" hidden="false" customHeight="false" outlineLevel="0" collapsed="false">
      <c r="A5" s="29" t="n">
        <v>73</v>
      </c>
      <c r="B5" s="22" t="n">
        <f aca="false">$A5*1000*B$2*(1-Inputs!$B$8)+Inputs!$B$9-Inputs!$B$10</f>
        <v>158.7</v>
      </c>
      <c r="C5" s="22" t="n">
        <f aca="false">$A5*1000*C$2*(1-Inputs!$B$8)+Inputs!$B$9-Inputs!$B$10</f>
        <v>302.875</v>
      </c>
      <c r="D5" s="22" t="n">
        <f aca="false">$A5*1000*D$2*(1-Inputs!$B$8)+Inputs!$B$9-Inputs!$B$10</f>
        <v>447.05</v>
      </c>
      <c r="E5" s="22" t="n">
        <f aca="false">$A5*1000*E$2*(1-Inputs!$B$8)+Inputs!$B$9-Inputs!$B$10</f>
        <v>591.225</v>
      </c>
      <c r="F5" s="22" t="n">
        <f aca="false">$A5*1000*F$2*(1-Inputs!$B$8)+Inputs!$B$9-Inputs!$B$10</f>
        <v>735.4</v>
      </c>
      <c r="G5" s="22" t="n">
        <f aca="false">$A5*1000*G$2*(1-Inputs!$B$8)+Inputs!$B$9-Inputs!$B$10</f>
        <v>879.575</v>
      </c>
      <c r="H5" s="22" t="n">
        <f aca="false">$A5*1000*H$2*(1-Inputs!$B$8)+Inputs!$B$9-Inputs!$B$10</f>
        <v>1023.75</v>
      </c>
    </row>
    <row r="6" customFormat="false" ht="15" hidden="false" customHeight="false" outlineLevel="0" collapsed="false">
      <c r="A6" s="29" t="n">
        <v>90</v>
      </c>
      <c r="B6" s="22" t="n">
        <f aca="false">$A6*1000*B$2*(1-Inputs!$B$8)+Inputs!$B$9-Inputs!$B$10</f>
        <v>293</v>
      </c>
      <c r="C6" s="22" t="n">
        <f aca="false">$A6*1000*C$2*(1-Inputs!$B$8)+Inputs!$B$9-Inputs!$B$10</f>
        <v>470.75</v>
      </c>
      <c r="D6" s="22" t="n">
        <f aca="false">$A6*1000*D$2*(1-Inputs!$B$8)+Inputs!$B$9-Inputs!$B$10</f>
        <v>648.5</v>
      </c>
      <c r="E6" s="22" t="n">
        <f aca="false">$A6*1000*E$2*(1-Inputs!$B$8)+Inputs!$B$9-Inputs!$B$10</f>
        <v>826.25</v>
      </c>
      <c r="F6" s="22" t="n">
        <f aca="false">$A6*1000*F$2*(1-Inputs!$B$8)+Inputs!$B$9-Inputs!$B$10</f>
        <v>1004</v>
      </c>
      <c r="G6" s="22" t="n">
        <f aca="false">$A6*1000*G$2*(1-Inputs!$B$8)+Inputs!$B$9-Inputs!$B$10</f>
        <v>1181.75</v>
      </c>
      <c r="H6" s="22" t="n">
        <f aca="false">$A6*1000*H$2*(1-Inputs!$B$8)+Inputs!$B$9-Inputs!$B$10</f>
        <v>1359.5</v>
      </c>
    </row>
    <row r="7" customFormat="false" ht="15" hidden="false" customHeight="false" outlineLevel="0" collapsed="false">
      <c r="A7" s="29" t="n">
        <v>110</v>
      </c>
      <c r="B7" s="22" t="n">
        <f aca="false">$A7*1000*B$2*(1-Inputs!$B$8)+Inputs!$B$9-Inputs!$B$10</f>
        <v>451</v>
      </c>
      <c r="C7" s="22" t="n">
        <f aca="false">$A7*1000*C$2*(1-Inputs!$B$8)+Inputs!$B$9-Inputs!$B$10</f>
        <v>668.25</v>
      </c>
      <c r="D7" s="22" t="n">
        <f aca="false">$A7*1000*D$2*(1-Inputs!$B$8)+Inputs!$B$9-Inputs!$B$10</f>
        <v>885.5</v>
      </c>
      <c r="E7" s="22" t="n">
        <f aca="false">$A7*1000*E$2*(1-Inputs!$B$8)+Inputs!$B$9-Inputs!$B$10</f>
        <v>1102.75</v>
      </c>
      <c r="F7" s="22" t="n">
        <f aca="false">$A7*1000*F$2*(1-Inputs!$B$8)+Inputs!$B$9-Inputs!$B$10</f>
        <v>1320</v>
      </c>
      <c r="G7" s="22" t="n">
        <f aca="false">$A7*1000*G$2*(1-Inputs!$B$8)+Inputs!$B$9-Inputs!$B$10</f>
        <v>1537.25</v>
      </c>
      <c r="H7" s="22" t="n">
        <f aca="false">$A7*1000*H$2*(1-Inputs!$B$8)+Inputs!$B$9-Inputs!$B$10</f>
        <v>1754.5</v>
      </c>
    </row>
    <row r="8" customFormat="false" ht="15" hidden="false" customHeight="false" outlineLevel="0" collapsed="false">
      <c r="A8" s="29" t="n">
        <v>150</v>
      </c>
      <c r="B8" s="22" t="n">
        <f aca="false">$A8*1000*B$2*(1-Inputs!$B$8)+Inputs!$B$9-Inputs!$B$10</f>
        <v>767</v>
      </c>
      <c r="C8" s="22" t="n">
        <f aca="false">$A8*1000*C$2*(1-Inputs!$B$8)+Inputs!$B$9-Inputs!$B$10</f>
        <v>1063.25</v>
      </c>
      <c r="D8" s="22" t="n">
        <f aca="false">$A8*1000*D$2*(1-Inputs!$B$8)+Inputs!$B$9-Inputs!$B$10</f>
        <v>1359.5</v>
      </c>
      <c r="E8" s="22" t="n">
        <f aca="false">$A8*1000*E$2*(1-Inputs!$B$8)+Inputs!$B$9-Inputs!$B$10</f>
        <v>1655.75</v>
      </c>
      <c r="F8" s="22" t="n">
        <f aca="false">$A8*1000*F$2*(1-Inputs!$B$8)+Inputs!$B$9-Inputs!$B$10</f>
        <v>1952</v>
      </c>
      <c r="G8" s="22" t="n">
        <f aca="false">$A8*1000*G$2*(1-Inputs!$B$8)+Inputs!$B$9-Inputs!$B$10</f>
        <v>2248.25</v>
      </c>
      <c r="H8" s="22" t="n">
        <f aca="false">$A8*1000*H$2*(1-Inputs!$B$8)+Inputs!$B$9-Inputs!$B$10</f>
        <v>2544.5</v>
      </c>
    </row>
    <row r="9" customFormat="false" ht="15" hidden="false" customHeight="false" outlineLevel="0" collapsed="false">
      <c r="A9" s="29" t="n">
        <v>200</v>
      </c>
      <c r="B9" s="22" t="n">
        <f aca="false">$A9*1000*B$2*(1-Inputs!$B$8)+Inputs!$B$9-Inputs!$B$10</f>
        <v>1162</v>
      </c>
      <c r="C9" s="22" t="n">
        <f aca="false">$A9*1000*C$2*(1-Inputs!$B$8)+Inputs!$B$9-Inputs!$B$10</f>
        <v>1557</v>
      </c>
      <c r="D9" s="22" t="n">
        <f aca="false">$A9*1000*D$2*(1-Inputs!$B$8)+Inputs!$B$9-Inputs!$B$10</f>
        <v>1952</v>
      </c>
      <c r="E9" s="22" t="n">
        <f aca="false">$A9*1000*E$2*(1-Inputs!$B$8)+Inputs!$B$9-Inputs!$B$10</f>
        <v>2347</v>
      </c>
      <c r="F9" s="22" t="n">
        <f aca="false">$A9*1000*F$2*(1-Inputs!$B$8)+Inputs!$B$9-Inputs!$B$10</f>
        <v>2742</v>
      </c>
      <c r="G9" s="22" t="n">
        <f aca="false">$A9*1000*G$2*(1-Inputs!$B$8)+Inputs!$B$9-Inputs!$B$10</f>
        <v>3137</v>
      </c>
      <c r="H9" s="22" t="n">
        <f aca="false">$A9*1000*H$2*(1-Inputs!$B$8)+Inputs!$B$9-Inputs!$B$10</f>
        <v>3532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6" min="2" style="0" width="12"/>
  </cols>
  <sheetData>
    <row r="1" customFormat="false" ht="16.15" hidden="false" customHeight="false" outlineLevel="0" collapsed="false">
      <c r="A1" s="1" t="s">
        <v>170</v>
      </c>
      <c r="B1" s="14"/>
      <c r="C1" s="14"/>
      <c r="D1" s="14"/>
      <c r="E1" s="14"/>
      <c r="F1" s="14"/>
    </row>
    <row r="2" customFormat="false" ht="15" hidden="false" customHeight="false" outlineLevel="0" collapsed="false">
      <c r="A2" s="14"/>
      <c r="B2" s="14"/>
      <c r="C2" s="14"/>
      <c r="D2" s="14"/>
      <c r="E2" s="14"/>
      <c r="F2" s="14"/>
    </row>
    <row r="3" customFormat="false" ht="15" hidden="false" customHeight="false" outlineLevel="0" collapsed="false">
      <c r="A3" s="3" t="s">
        <v>171</v>
      </c>
      <c r="B3" s="3" t="s">
        <v>172</v>
      </c>
      <c r="C3" s="3" t="s">
        <v>173</v>
      </c>
      <c r="D3" s="3" t="s">
        <v>174</v>
      </c>
      <c r="E3" s="3" t="s">
        <v>175</v>
      </c>
      <c r="F3" s="3" t="s">
        <v>176</v>
      </c>
    </row>
    <row r="4" customFormat="false" ht="15" hidden="false" customHeight="false" outlineLevel="0" collapsed="false">
      <c r="A4" s="14" t="s">
        <v>177</v>
      </c>
      <c r="B4" s="30" t="n">
        <f aca="false">Inputs!$B$18</f>
        <v>40000</v>
      </c>
      <c r="C4" s="30" t="n">
        <f aca="false">B4*(1+Inputs!$B$19)</f>
        <v>64000</v>
      </c>
      <c r="D4" s="30" t="n">
        <f aca="false">C4*(1+Inputs!$B$19)</f>
        <v>102400</v>
      </c>
      <c r="E4" s="30" t="n">
        <f aca="false">D4*(1+Inputs!$B$19)</f>
        <v>163840</v>
      </c>
      <c r="F4" s="30" t="n">
        <f aca="false">E4*(1+Inputs!$B$19)</f>
        <v>262144</v>
      </c>
    </row>
    <row r="5" customFormat="false" ht="15" hidden="false" customHeight="false" outlineLevel="0" collapsed="false">
      <c r="A5" s="14" t="s">
        <v>178</v>
      </c>
      <c r="B5" s="30" t="n">
        <f aca="false">B4*(1-Inputs!$B$20)^12</f>
        <v>24508.3902931907</v>
      </c>
      <c r="C5" s="30" t="n">
        <f aca="false">(B5+C4)*(1-Inputs!$B$20)^12</f>
        <v>54229.9543381892</v>
      </c>
      <c r="D5" s="30" t="n">
        <f aca="false">(C5+D4)*(1-Inputs!$B$20)^12</f>
        <v>95968.7013131244</v>
      </c>
      <c r="E5" s="30" t="n">
        <f aca="false">(D5+E4)*(1-Inputs!$B$20)^12</f>
        <v>159187.326333726</v>
      </c>
      <c r="F5" s="30" t="n">
        <f aca="false">(E5+F4)*(1-Inputs!$B$20)^12</f>
        <v>258153.814713366</v>
      </c>
    </row>
    <row r="6" customFormat="false" ht="15" hidden="false" customHeight="false" outlineLevel="0" collapsed="false">
      <c r="A6" s="14" t="s">
        <v>179</v>
      </c>
      <c r="B6" s="30" t="n">
        <f aca="false">(B4+B5)/2</f>
        <v>32254.1951465953</v>
      </c>
      <c r="C6" s="30" t="n">
        <f aca="false">(B5+C4+C5)/2</f>
        <v>71369.1723156899</v>
      </c>
      <c r="D6" s="30" t="n">
        <f aca="false">(C5+D4+D5)/2</f>
        <v>126299.327825657</v>
      </c>
      <c r="E6" s="30" t="n">
        <f aca="false">(D5+E4+E5)/2</f>
        <v>209498.013823425</v>
      </c>
      <c r="F6" s="30" t="n">
        <f aca="false">(E5+F4+F5)/2</f>
        <v>339742.570523546</v>
      </c>
    </row>
    <row r="7" customFormat="false" ht="15" hidden="false" customHeight="false" outlineLevel="0" collapsed="false">
      <c r="A7" s="14" t="s">
        <v>180</v>
      </c>
      <c r="B7" s="31" t="n">
        <f aca="false">B6*Inputs!$B$17*12/1000000</f>
        <v>0.503165444286887</v>
      </c>
      <c r="C7" s="31" t="n">
        <f aca="false">C6*Inputs!$B$17*12/1000000</f>
        <v>1.11335908812476</v>
      </c>
      <c r="D7" s="31" t="n">
        <f aca="false">D6*Inputs!$B$17*12/1000000</f>
        <v>1.97026951408025</v>
      </c>
      <c r="E7" s="31" t="n">
        <f aca="false">E6*Inputs!$B$17*12/1000000</f>
        <v>3.26816901564544</v>
      </c>
      <c r="F7" s="31" t="n">
        <f aca="false">F6*Inputs!$B$17*12/1000000</f>
        <v>5.29998410016732</v>
      </c>
    </row>
    <row r="8" customFormat="false" ht="15" hidden="false" customHeight="false" outlineLevel="0" collapsed="false">
      <c r="A8" s="14" t="s">
        <v>181</v>
      </c>
      <c r="B8" s="28" t="n">
        <f aca="false">B7*Inputs!$B$16</f>
        <v>150.949633286066</v>
      </c>
      <c r="C8" s="28" t="n">
        <f aca="false">C7*Inputs!$B$16</f>
        <v>334.007726437429</v>
      </c>
      <c r="D8" s="28" t="n">
        <f aca="false">D7*Inputs!$B$16</f>
        <v>591.080854224074</v>
      </c>
      <c r="E8" s="28" t="n">
        <f aca="false">E7*Inputs!$B$16</f>
        <v>980.450704693631</v>
      </c>
      <c r="F8" s="28" t="n">
        <f aca="false">F7*Inputs!$B$16</f>
        <v>1589.9952300502</v>
      </c>
    </row>
    <row r="9" customFormat="false" ht="15" hidden="false" customHeight="false" outlineLevel="0" collapsed="false">
      <c r="A9" s="14" t="s">
        <v>182</v>
      </c>
      <c r="B9" s="32" t="n">
        <f aca="false">B8*Inputs!$B$15</f>
        <v>4.07564009872379</v>
      </c>
      <c r="C9" s="32" t="n">
        <f aca="false">C8*Inputs!$B$15</f>
        <v>9.01820861381058</v>
      </c>
      <c r="D9" s="32" t="n">
        <f aca="false">D8*Inputs!$B$15</f>
        <v>15.95918306405</v>
      </c>
      <c r="E9" s="32" t="n">
        <f aca="false">E8*Inputs!$B$15</f>
        <v>26.472169026728</v>
      </c>
      <c r="F9" s="32" t="n">
        <f aca="false">F8*Inputs!$B$15</f>
        <v>42.9298712113553</v>
      </c>
    </row>
    <row r="10" customFormat="false" ht="15" hidden="false" customHeight="false" outlineLevel="0" collapsed="false">
      <c r="A10" s="14" t="s">
        <v>183</v>
      </c>
      <c r="B10" s="32" t="n">
        <f aca="false">-(B8*(Inputs!$B$2+Inputs!$B$3)+B7*Inputs!$B$4)</f>
        <v>-2.54098549364878</v>
      </c>
      <c r="C10" s="32" t="n">
        <f aca="false">-(C8*(Inputs!$B$2+Inputs!$B$3)+C7*Inputs!$B$4)</f>
        <v>-5.62246339503005</v>
      </c>
      <c r="D10" s="32" t="n">
        <f aca="false">-(D8*(Inputs!$B$2+Inputs!$B$3)+D7*Inputs!$B$4)</f>
        <v>-9.94986104610524</v>
      </c>
      <c r="E10" s="32" t="n">
        <f aca="false">-(E8*(Inputs!$B$2+Inputs!$B$3)+E7*Inputs!$B$4)</f>
        <v>-16.5042535290095</v>
      </c>
      <c r="F10" s="32" t="n">
        <f aca="false">-(F8*(Inputs!$B$2+Inputs!$B$3)+F7*Inputs!$B$4)</f>
        <v>-26.764919705845</v>
      </c>
    </row>
    <row r="11" customFormat="false" ht="15" hidden="false" customHeight="false" outlineLevel="0" collapsed="false">
      <c r="A11" s="14" t="s">
        <v>184</v>
      </c>
      <c r="B11" s="32" t="n">
        <f aca="false">B9+B10</f>
        <v>1.53465460507501</v>
      </c>
      <c r="C11" s="32" t="n">
        <f aca="false">C9+C10</f>
        <v>3.39574521878053</v>
      </c>
      <c r="D11" s="32" t="n">
        <f aca="false">D9+D10</f>
        <v>6.00932201794475</v>
      </c>
      <c r="E11" s="32" t="n">
        <f aca="false">E9+E10</f>
        <v>9.96791549771858</v>
      </c>
      <c r="F11" s="32" t="n">
        <f aca="false">F9+F10</f>
        <v>16.1649515055103</v>
      </c>
    </row>
    <row r="12" customFormat="false" ht="15" hidden="false" customHeight="false" outlineLevel="0" collapsed="false">
      <c r="A12" s="14" t="s">
        <v>185</v>
      </c>
      <c r="B12" s="16" t="n">
        <f aca="false">IF(B9=0,0,B11/B9)</f>
        <v>0.376543209876543</v>
      </c>
      <c r="C12" s="16" t="n">
        <f aca="false">IF(C9=0,0,C11/C9)</f>
        <v>0.376543209876543</v>
      </c>
      <c r="D12" s="16" t="n">
        <f aca="false">IF(D9=0,0,D11/D9)</f>
        <v>0.376543209876543</v>
      </c>
      <c r="E12" s="16" t="n">
        <f aca="false">IF(E9=0,0,E11/E9)</f>
        <v>0.376543209876543</v>
      </c>
      <c r="F12" s="16" t="n">
        <f aca="false">IF(F9=0,0,F11/F9)</f>
        <v>0.376543209876543</v>
      </c>
    </row>
    <row r="13" customFormat="false" ht="15" hidden="false" customHeight="false" outlineLevel="0" collapsed="false">
      <c r="A13" s="14" t="s">
        <v>186</v>
      </c>
      <c r="B13" s="32" t="n">
        <f aca="false">-B4*Inputs!$B$21/1000000</f>
        <v>-0.88</v>
      </c>
      <c r="C13" s="32" t="n">
        <f aca="false">-C4*Inputs!$B$21/1000000</f>
        <v>-1.408</v>
      </c>
      <c r="D13" s="32" t="n">
        <f aca="false">-D4*Inputs!$B$21/1000000</f>
        <v>-2.2528</v>
      </c>
      <c r="E13" s="32" t="n">
        <f aca="false">-E4*Inputs!$B$21/1000000</f>
        <v>-3.60448</v>
      </c>
      <c r="F13" s="32" t="n">
        <f aca="false">-F4*Inputs!$B$21/1000000</f>
        <v>-5.767168</v>
      </c>
    </row>
    <row r="14" customFormat="false" ht="15" hidden="false" customHeight="false" outlineLevel="0" collapsed="false">
      <c r="A14" s="14" t="s">
        <v>187</v>
      </c>
      <c r="B14" s="32" t="n">
        <f aca="false">-Inputs!$B$22*(1+Inputs!$B$23)^(0)</f>
        <v>-3.5</v>
      </c>
      <c r="C14" s="32" t="n">
        <f aca="false">-Inputs!$B$22*(1+Inputs!$B$23)^(1)</f>
        <v>-4.375</v>
      </c>
      <c r="D14" s="32" t="n">
        <f aca="false">-Inputs!$B$22*(1+Inputs!$B$23)^(2)</f>
        <v>-5.46875</v>
      </c>
      <c r="E14" s="32" t="n">
        <f aca="false">-Inputs!$B$22*(1+Inputs!$B$23)^(3)</f>
        <v>-6.8359375</v>
      </c>
      <c r="F14" s="32" t="n">
        <f aca="false">-Inputs!$B$22*(1+Inputs!$B$23)^(4)</f>
        <v>-8.544921875</v>
      </c>
    </row>
    <row r="15" customFormat="false" ht="15" hidden="false" customHeight="false" outlineLevel="0" collapsed="false">
      <c r="A15" s="14" t="s">
        <v>188</v>
      </c>
      <c r="B15" s="32" t="n">
        <f aca="false">B11+B13+B14</f>
        <v>-2.84534539492499</v>
      </c>
      <c r="C15" s="32" t="n">
        <f aca="false">C11+C13+C14</f>
        <v>-2.38725478121947</v>
      </c>
      <c r="D15" s="32" t="n">
        <f aca="false">D11+D13+D14</f>
        <v>-1.71222798205525</v>
      </c>
      <c r="E15" s="32" t="n">
        <f aca="false">E11+E13+E14</f>
        <v>-0.472502002281422</v>
      </c>
      <c r="F15" s="32" t="n">
        <f aca="false">F11+F13+F14</f>
        <v>1.85286163051034</v>
      </c>
    </row>
    <row r="16" customFormat="false" ht="15" hidden="false" customHeight="false" outlineLevel="0" collapsed="false">
      <c r="A16" s="14" t="s">
        <v>189</v>
      </c>
      <c r="B16" s="33" t="n">
        <f aca="false">1/(1+Inputs!$B$24)^1</f>
        <v>0.847457627118644</v>
      </c>
      <c r="C16" s="33" t="n">
        <f aca="false">1/(1+Inputs!$B$24)^2</f>
        <v>0.718184429761563</v>
      </c>
      <c r="D16" s="33" t="n">
        <f aca="false">1/(1+Inputs!$B$24)^3</f>
        <v>0.608630872679291</v>
      </c>
      <c r="E16" s="33" t="n">
        <f aca="false">1/(1+Inputs!$B$24)^4</f>
        <v>0.515788875151941</v>
      </c>
      <c r="F16" s="33" t="n">
        <f aca="false">1/(1+Inputs!$B$24)^5</f>
        <v>0.437109216230459</v>
      </c>
    </row>
    <row r="17" customFormat="false" ht="15" hidden="false" customHeight="false" outlineLevel="0" collapsed="false">
      <c r="A17" s="14" t="s">
        <v>190</v>
      </c>
      <c r="B17" s="32" t="n">
        <f aca="false">B15*B16</f>
        <v>-2.4113096567161</v>
      </c>
      <c r="C17" s="32" t="n">
        <f aca="false">C15*C16</f>
        <v>-1.71448921374567</v>
      </c>
      <c r="D17" s="32" t="n">
        <f aca="false">D15*D16</f>
        <v>-1.04211481094419</v>
      </c>
      <c r="E17" s="32" t="n">
        <f aca="false">E15*E16</f>
        <v>-0.243711276263774</v>
      </c>
      <c r="F17" s="32" t="n">
        <f aca="false">F15*F16</f>
        <v>0.809902895095863</v>
      </c>
    </row>
    <row r="18" customFormat="false" ht="15" hidden="false" customHeight="false" outlineLevel="0" collapsed="false">
      <c r="A18" s="14"/>
      <c r="B18" s="14"/>
      <c r="C18" s="14"/>
      <c r="D18" s="14"/>
      <c r="E18" s="14"/>
      <c r="F18" s="14"/>
    </row>
    <row r="19" customFormat="false" ht="15" hidden="false" customHeight="false" outlineLevel="0" collapsed="false">
      <c r="A19" s="15" t="s">
        <v>191</v>
      </c>
      <c r="B19" s="32" t="n">
        <f aca="false">SUM(B17:F17)</f>
        <v>-4.60172206257387</v>
      </c>
      <c r="C19" s="14"/>
      <c r="D19" s="14"/>
      <c r="E19" s="14"/>
      <c r="F19" s="14"/>
    </row>
    <row r="20" customFormat="false" ht="15" hidden="false" customHeight="false" outlineLevel="0" collapsed="false">
      <c r="A20" s="14" t="s">
        <v>192</v>
      </c>
      <c r="B20" s="32" t="n">
        <f aca="false">Inputs!$B$16*(Inputs!$B$15-Inputs!$B$2-Inputs!$B$3)-Inputs!$B$4</f>
        <v>3.05</v>
      </c>
      <c r="C20" s="14"/>
      <c r="D20" s="14"/>
      <c r="E20" s="14"/>
      <c r="F20" s="14"/>
    </row>
    <row r="21" customFormat="false" ht="15" hidden="false" customHeight="false" outlineLevel="0" collapsed="false">
      <c r="A21" s="14" t="s">
        <v>193</v>
      </c>
      <c r="B21" s="34" t="n">
        <f aca="false">IF(B20&lt;=0,"never",Inputs!$B$21/(B20*Inputs!$B$17))</f>
        <v>5.54854981084489</v>
      </c>
      <c r="C21" s="14"/>
      <c r="D21" s="14"/>
      <c r="E21" s="14"/>
      <c r="F21" s="14"/>
    </row>
    <row r="22" customFormat="false" ht="15" hidden="false" customHeight="false" outlineLevel="0" collapsed="false">
      <c r="A22" s="14" t="s">
        <v>194</v>
      </c>
      <c r="B22" s="32" t="n">
        <f aca="false">Inputs!$B$16*(0.0715-Inputs!$B$15)</f>
        <v>13.35</v>
      </c>
      <c r="C22" s="14"/>
      <c r="D22" s="14"/>
      <c r="E22" s="14"/>
      <c r="F22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2026-10-14T23:53:54Z</dcterms:created>
  <dc:creator>openpyxl</dc:creator>
  <dc:description/>
  <dc:language>en-US</dc:language>
  <cp:lastModifiedBy/>
  <dcterms:modified xsi:type="dcterms:W3CDTF">2026-10-14T23:53:54Z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